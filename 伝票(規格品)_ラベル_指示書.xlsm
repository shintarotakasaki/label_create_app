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1101660\Downloads\"/>
    </mc:Choice>
  </mc:AlternateContent>
  <xr:revisionPtr revIDLastSave="0" documentId="13_ncr:1_{D24ECCE5-86D1-4057-9A7A-4A2A7E22B64A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納品書控(製品)" sheetId="1" r:id="rId1"/>
    <sheet name="小口ラベル" sheetId="2" r:id="rId2"/>
    <sheet name="代替品指示書(品質)" sheetId="3" r:id="rId3"/>
    <sheet name="ラインコード" sheetId="4" r:id="rId4"/>
    <sheet name="北物用" sheetId="5" r:id="rId5"/>
    <sheet name="北物用(CS対応)" sheetId="6" r:id="rId6"/>
  </sheets>
  <definedNames>
    <definedName name="_3色ﾏｸﾛWLC_.三色展開_2" localSheetId="3">[0]!_3色ﾏｸﾛWLC_.三色展開_2</definedName>
    <definedName name="_3色ﾏｸﾛWLC_.三色展開_2" localSheetId="5">#N/A</definedName>
    <definedName name="_3色ﾏｸﾛWLC_.三色展開_2">ラインコード!_3色ﾏｸﾛWLC_.三色展開_2</definedName>
    <definedName name="_3色ﾏｸﾛWLM_.三色展開_2" localSheetId="3">[0]!_3色ﾏｸﾛWLM_.三色展開_2</definedName>
    <definedName name="_3色ﾏｸﾛWLM_.三色展開_2" localSheetId="5">#N/A</definedName>
    <definedName name="_3色ﾏｸﾛWLM_.三色展開_2">ラインコード!_3色ﾏｸﾛWLM_.三色展開_2</definedName>
    <definedName name="_6色ﾏｸﾛ_.六色展開_2" localSheetId="3">[0]!_6色ﾏｸﾛ_.六色展開_2</definedName>
    <definedName name="_6色ﾏｸﾛ_.六色展開_2" localSheetId="5">#N/A</definedName>
    <definedName name="_6色ﾏｸﾛ_.六色展開_2">ラインコード!_6色ﾏｸﾛ_.六色展開_2</definedName>
    <definedName name="_GM_入力シート_.P_210_DELETE_2" localSheetId="3">[0]!_GM_入力シート_.P_210_DELETE_2</definedName>
    <definedName name="_GM_入力シート_.P_210_DELETE_2" localSheetId="5">#N/A</definedName>
    <definedName name="_GM_入力シート_.P_210_DELETE_2">ラインコード!_GM_入力シート_.P_210_DELETE_2</definedName>
    <definedName name="_GM_入力シート_.P_210_KAKUTEI_2" localSheetId="3">[0]!_GM_入力シート_.P_210_KAKUTEI_2</definedName>
    <definedName name="_GM_入力シート_.P_210_KAKUTEI_2" localSheetId="5">#N/A</definedName>
    <definedName name="_GM_入力シート_.P_210_KAKUTEI_2">ラインコード!_GM_入力シート_.P_210_KAKUTEI_2</definedName>
    <definedName name="_GM_入力シート_.P_210_RETURN_2" localSheetId="3">[0]!_GM_入力シート_.P_210_RETURN_2</definedName>
    <definedName name="_GM_入力シート_.P_210_RETURN_2" localSheetId="5">#N/A</definedName>
    <definedName name="_GM_入力シート_.P_210_RETURN_2">ラインコード!_GM_入力シート_.P_210_RETURN_2</definedName>
    <definedName name="_Module1_.go_hyousi_2" localSheetId="3">[0]!_Module1_.go_hyousi_2</definedName>
    <definedName name="_Module1_.go_hyousi_2" localSheetId="5">#N/A</definedName>
    <definedName name="_Module1_.go_hyousi_2">ラインコード!_Module1_.go_hyousi_2</definedName>
    <definedName name="_Module1_.Record12_2" localSheetId="3">[0]!_Module1_.Record12_2</definedName>
    <definedName name="_Module1_.Record12_2" localSheetId="5">#N/A</definedName>
    <definedName name="_Module1_.Record12_2">ラインコード!_Module1_.Record12_2</definedName>
    <definedName name="_Module1__2__.SetColor_2" localSheetId="3">[0]!_Module1__2__.SetColor_2</definedName>
    <definedName name="_Module1__2__.SetColor_2" localSheetId="5">#N/A</definedName>
    <definedName name="_Module1__2__.SetColor_2">ラインコード!_Module1__2__.SetColor_2</definedName>
    <definedName name="_Moduleﾚｼﾞﾊﾟﾀｰﾝ合計_前年_.レジパターン合計_2" localSheetId="3">[0]!_Moduleﾚｼﾞﾊﾟﾀｰﾝ合計_前年_.レジパターン合計_2</definedName>
    <definedName name="_Moduleﾚｼﾞﾊﾟﾀｰﾝ合計_前年_.レジパターン合計_2" localSheetId="5">#N/A</definedName>
    <definedName name="_Moduleﾚｼﾞﾊﾟﾀｰﾝ合計_前年_.レジパターン合計_2">ラインコード!_Moduleﾚｼﾞﾊﾟﾀｰﾝ合計_前年_.レジパターン合計_2</definedName>
    <definedName name="_Moduleﾚｼﾞﾊﾟﾀｰﾝ合計_前年__2__.レジパターン合計_2" localSheetId="3">[0]!_Moduleﾚｼﾞﾊﾟﾀｰﾝ合計_前年__2__.レジパターン合計_2</definedName>
    <definedName name="_Moduleﾚｼﾞﾊﾟﾀｰﾝ合計_前年__2__.レジパターン合計_2" localSheetId="5">#N/A</definedName>
    <definedName name="_Moduleﾚｼﾞﾊﾟﾀｰﾝ合計_前年__2__.レジパターン合計_2">ラインコード!_Moduleﾚｼﾞﾊﾟﾀｰﾝ合計_前年__2__.レジパターン合計_2</definedName>
    <definedName name="_Moduleﾚｼﾞ大型_.Excellent1_2" localSheetId="3">[0]!_Moduleﾚｼﾞ大型_.Excellent1_2</definedName>
    <definedName name="_Moduleﾚｼﾞ大型_.Excellent1_2" localSheetId="5">#N/A</definedName>
    <definedName name="_Moduleﾚｼﾞ大型_.Excellent1_2">ラインコード!_Moduleﾚｼﾞ大型_.Excellent1_2</definedName>
    <definedName name="_Moduleﾚｼﾞ地域単独①_.Excellent1_2" localSheetId="3">[0]!_Moduleﾚｼﾞ地域単独①_.Excellent1_2</definedName>
    <definedName name="_Moduleﾚｼﾞ地域単独①_.Excellent1_2" localSheetId="5">#N/A</definedName>
    <definedName name="_Moduleﾚｼﾞ地域単独①_.Excellent1_2">ラインコード!_Moduleﾚｼﾞ地域単独①_.Excellent1_2</definedName>
    <definedName name="_Moduleﾚｼﾞ中型_.Excellent1_2" localSheetId="3">[0]!_Moduleﾚｼﾞ中型_.Excellent1_2</definedName>
    <definedName name="_Moduleﾚｼﾞ中型_.Excellent1_2" localSheetId="5">#N/A</definedName>
    <definedName name="_Moduleﾚｼﾞ中型_.Excellent1_2">ラインコード!_Moduleﾚｼﾞ中型_.Excellent1_2</definedName>
    <definedName name="_M画面移動_.マスターメンテナンスメニュー_2" localSheetId="3">[0]!_M画面移動_.マスターメンテナンスメニュー_2</definedName>
    <definedName name="_M画面移動_.マスターメンテナンスメニュー_2" localSheetId="5">#N/A</definedName>
    <definedName name="_M画面移動_.マスターメンテナンスメニュー_2">ラインコード!_M画面移動_.マスターメンテナンスメニュー_2</definedName>
    <definedName name="_M画面移動_.メニュー画面_2" localSheetId="3">[0]!_M画面移動_.メニュー画面_2</definedName>
    <definedName name="_M画面移動_.メニュー画面_2" localSheetId="5">#N/A</definedName>
    <definedName name="_M画面移動_.メニュー画面_2">ラインコード!_M画面移動_.メニュー画面_2</definedName>
    <definedName name="_バーﾏｸﾛ_.バー10月実績_2" localSheetId="3">[0]!_バーﾏｸﾛ_.バー10月実績_2</definedName>
    <definedName name="_バーﾏｸﾛ_.バー10月実績_2" localSheetId="5">#N/A</definedName>
    <definedName name="_バーﾏｸﾛ_.バー10月実績_2">ラインコード!_バーﾏｸﾛ_.バー10月実績_2</definedName>
    <definedName name="_バーﾏｸﾛ_.バー11月実績_2" localSheetId="3">[0]!_バーﾏｸﾛ_.バー11月実績_2</definedName>
    <definedName name="_バーﾏｸﾛ_.バー11月実績_2" localSheetId="5">#N/A</definedName>
    <definedName name="_バーﾏｸﾛ_.バー11月実績_2">ラインコード!_バーﾏｸﾛ_.バー11月実績_2</definedName>
    <definedName name="_バーﾏｸﾛ_.バー12月実績_2" localSheetId="3">[0]!_バーﾏｸﾛ_.バー12月実績_2</definedName>
    <definedName name="_バーﾏｸﾛ_.バー12月実績_2" localSheetId="5">#N/A</definedName>
    <definedName name="_バーﾏｸﾛ_.バー12月実績_2">ラインコード!_バーﾏｸﾛ_.バー12月実績_2</definedName>
    <definedName name="_バーﾏｸﾛ_.バー1月実績_2" localSheetId="3">[0]!_バーﾏｸﾛ_.バー1月実績_2</definedName>
    <definedName name="_バーﾏｸﾛ_.バー1月実績_2" localSheetId="5">#N/A</definedName>
    <definedName name="_バーﾏｸﾛ_.バー1月実績_2">ラインコード!_バーﾏｸﾛ_.バー1月実績_2</definedName>
    <definedName name="_バーﾏｸﾛ_.バー2月実績_2" localSheetId="3">[0]!_バーﾏｸﾛ_.バー2月実績_2</definedName>
    <definedName name="_バーﾏｸﾛ_.バー2月実績_2" localSheetId="5">#N/A</definedName>
    <definedName name="_バーﾏｸﾛ_.バー2月実績_2">ラインコード!_バーﾏｸﾛ_.バー2月実績_2</definedName>
    <definedName name="_バーﾏｸﾛ_.バー3月実績_2" localSheetId="3">[0]!_バーﾏｸﾛ_.バー3月実績_2</definedName>
    <definedName name="_バーﾏｸﾛ_.バー3月実績_2" localSheetId="5">#N/A</definedName>
    <definedName name="_バーﾏｸﾛ_.バー3月実績_2">ラインコード!_バーﾏｸﾛ_.バー3月実績_2</definedName>
    <definedName name="_バーﾏｸﾛ_.バー5月実績_2" localSheetId="3">[0]!_バーﾏｸﾛ_.バー5月実績_2</definedName>
    <definedName name="_バーﾏｸﾛ_.バー5月実績_2" localSheetId="5">#N/A</definedName>
    <definedName name="_バーﾏｸﾛ_.バー5月実績_2">ラインコード!_バーﾏｸﾛ_.バー5月実績_2</definedName>
    <definedName name="_バーﾏｸﾛ_.バー6月実績_2" localSheetId="3">[0]!_バーﾏｸﾛ_.バー6月実績_2</definedName>
    <definedName name="_バーﾏｸﾛ_.バー6月実績_2" localSheetId="5">#N/A</definedName>
    <definedName name="_バーﾏｸﾛ_.バー6月実績_2">ラインコード!_バーﾏｸﾛ_.バー6月実績_2</definedName>
    <definedName name="_バーﾏｸﾛ_.バー7月実績_2" localSheetId="3">[0]!_バーﾏｸﾛ_.バー7月実績_2</definedName>
    <definedName name="_バーﾏｸﾛ_.バー7月実績_2" localSheetId="5">#N/A</definedName>
    <definedName name="_バーﾏｸﾛ_.バー7月実績_2">ラインコード!_バーﾏｸﾛ_.バー7月実績_2</definedName>
    <definedName name="_バーﾏｸﾛ_.バー8月実績_2" localSheetId="3">[0]!_バーﾏｸﾛ_.バー8月実績_2</definedName>
    <definedName name="_バーﾏｸﾛ_.バー8月実績_2" localSheetId="5">#N/A</definedName>
    <definedName name="_バーﾏｸﾛ_.バー8月実績_2">ラインコード!_バーﾏｸﾛ_.バー8月実績_2</definedName>
    <definedName name="_バーﾏｸﾛ_.バー9月実績_2" localSheetId="3">[0]!_バーﾏｸﾛ_.バー9月実績_2</definedName>
    <definedName name="_バーﾏｸﾛ_.バー9月実績_2" localSheetId="5">#N/A</definedName>
    <definedName name="_バーﾏｸﾛ_.バー9月実績_2">ラインコード!_バーﾏｸﾛ_.バー9月実績_2</definedName>
    <definedName name="_バーﾏｸﾛ_.バー材コスト実績推移を開く_2" localSheetId="3">[0]!_バーﾏｸﾛ_.バー材コスト実績推移を開く_2</definedName>
    <definedName name="_バーﾏｸﾛ_.バー材コスト実績推移を開く_2" localSheetId="5">#N/A</definedName>
    <definedName name="_バーﾏｸﾛ_.バー材コスト実績推移を開く_2">ラインコード!_バーﾏｸﾛ_.バー材コスト実績推移を開く_2</definedName>
    <definedName name="_バーﾏｸﾛ_.バー材単月実績IDを開く_2" localSheetId="3">[0]!_バーﾏｸﾛ_.バー材単月実績IDを開く_2</definedName>
    <definedName name="_バーﾏｸﾛ_.バー材単月実績IDを開く_2" localSheetId="5">#N/A</definedName>
    <definedName name="_バーﾏｸﾛ_.バー材単月実績IDを開く_2">ラインコード!_バーﾏｸﾛ_.バー材単月実績IDを開く_2</definedName>
    <definedName name="_日次モジュール_.日次印刷処理_2" localSheetId="3">[0]!_日次モジュール_.日次印刷処理_2</definedName>
    <definedName name="_日次モジュール_.日次印刷処理_2" localSheetId="5">#N/A</definedName>
    <definedName name="_日次モジュール_.日次印刷処理_2">ラインコード!_日次モジュール_.日次印刷処理_2</definedName>
    <definedName name="a1_2" localSheetId="3">[0]!a1_2</definedName>
    <definedName name="a1_2" localSheetId="5">#N/A</definedName>
    <definedName name="a1_2">ラインコード!a1_2</definedName>
    <definedName name="d05_2" localSheetId="3">[0]!d05_2</definedName>
    <definedName name="d05_2" localSheetId="5">#N/A</definedName>
    <definedName name="d05_2">ラインコード!d05_2</definedName>
    <definedName name="d2_2" localSheetId="3">[0]!d2_2</definedName>
    <definedName name="d2_2" localSheetId="5">#N/A</definedName>
    <definedName name="d2_2">ラインコード!d2_2</definedName>
    <definedName name="l2_2" localSheetId="3">[0]!l2_2</definedName>
    <definedName name="l2_2" localSheetId="5">#N/A</definedName>
    <definedName name="l2_2">ラインコード!l2_2</definedName>
    <definedName name="M18_2" localSheetId="3">[0]!M18_2</definedName>
    <definedName name="M18_2" localSheetId="5">#N/A</definedName>
    <definedName name="M18_2">ラインコード!M18_2</definedName>
    <definedName name="m2_2" localSheetId="3">[0]!m2_2</definedName>
    <definedName name="m2_2" localSheetId="5">#N/A</definedName>
    <definedName name="m2_2">ラインコード!m2_2</definedName>
    <definedName name="P10_2" localSheetId="3">[0]!P10_2</definedName>
    <definedName name="P10_2" localSheetId="5">#N/A</definedName>
    <definedName name="P10_2">ラインコード!P10_2</definedName>
    <definedName name="P100_2" localSheetId="3">_ama1</definedName>
    <definedName name="P100_2" localSheetId="5">_ama1</definedName>
    <definedName name="P100_2">_ama1</definedName>
    <definedName name="P102_2" localSheetId="3">B12_事業名別ﾃﾞｰﾀ_ＴＬＣ_</definedName>
    <definedName name="P102_2" localSheetId="5">B12_事業名別ﾃﾞｰﾀ_ＴＬＣ_</definedName>
    <definedName name="P102_2">B12_事業名別ﾃﾞｰﾀ_ＴＬＣ_</definedName>
    <definedName name="P11_2" localSheetId="3">BA</definedName>
    <definedName name="P11_2" localSheetId="5">BA</definedName>
    <definedName name="P11_2">BA</definedName>
    <definedName name="P111_2" localSheetId="3">BACK</definedName>
    <definedName name="P111_2" localSheetId="5">BACK</definedName>
    <definedName name="P111_2">BACK</definedName>
    <definedName name="P15_2" localSheetId="3">BuhinCheckBox</definedName>
    <definedName name="P15_2" localSheetId="5">BuhinCheckBox</definedName>
    <definedName name="P15_2">BuhinCheckBox</definedName>
    <definedName name="P197_2" localSheetId="3">BV</definedName>
    <definedName name="P197_2" localSheetId="5">BV</definedName>
    <definedName name="P197_2">BV</definedName>
    <definedName name="P20_2" localSheetId="3">CA</definedName>
    <definedName name="P20_2" localSheetId="5">CA</definedName>
    <definedName name="P20_2">CA</definedName>
    <definedName name="ｐ２１_2" localSheetId="3">[0]!ｐ２１_2</definedName>
    <definedName name="ｐ２１_2" localSheetId="5">#N/A</definedName>
    <definedName name="ｐ２１_2">ラインコード!ｐ２１_2</definedName>
    <definedName name="P22_2" localSheetId="3">CEL_SELECT_SR46</definedName>
    <definedName name="P22_2" localSheetId="5">CEL_SELECT_SR46</definedName>
    <definedName name="P22_2">CEL_SELECT_SR46</definedName>
    <definedName name="P222_2" localSheetId="3">CEL_SELECT_SR47</definedName>
    <definedName name="P222_2" localSheetId="5">CEL_SELECT_SR47</definedName>
    <definedName name="P222_2">CEL_SELECT_SR47</definedName>
    <definedName name="P223_2" localSheetId="3">CEL_SELECT_SR48</definedName>
    <definedName name="P223_2" localSheetId="5">CEL_SELECT_SR48</definedName>
    <definedName name="P223_2">CEL_SELECT_SR48</definedName>
    <definedName name="P225_2" localSheetId="3">CEL_SELECT_SR49</definedName>
    <definedName name="P225_2" localSheetId="5">CEL_SELECT_SR49</definedName>
    <definedName name="P225_2">CEL_SELECT_SR49</definedName>
    <definedName name="P232_2" localSheetId="3">CEL_SELECT_ST4</definedName>
    <definedName name="P232_2" localSheetId="5">CEL_SELECT_ST4</definedName>
    <definedName name="P232_2">CEL_SELECT_ST4</definedName>
    <definedName name="p24_2" localSheetId="3">CEL_SELECT_ST5</definedName>
    <definedName name="p24_2" localSheetId="5">CEL_SELECT_ST5</definedName>
    <definedName name="p24_2">CEL_SELECT_ST5</definedName>
    <definedName name="ｐ２５_2" localSheetId="3">CEL_SELECT_ST6</definedName>
    <definedName name="ｐ２５_2" localSheetId="5">CEL_SELECT_ST6</definedName>
    <definedName name="ｐ２５_2">CEL_SELECT_ST6</definedName>
    <definedName name="p26_2" localSheetId="3">CEL_SELECT_ST7</definedName>
    <definedName name="p26_2" localSheetId="5">CEL_SELECT_ST7</definedName>
    <definedName name="p26_2">CEL_SELECT_ST7</definedName>
    <definedName name="p28_2" localSheetId="3">CEL_SELECT_ST8</definedName>
    <definedName name="p28_2" localSheetId="5">CEL_SELECT_ST8</definedName>
    <definedName name="p28_2">CEL_SELECT_ST8</definedName>
    <definedName name="P3_2" localSheetId="3">[0]!P3_2</definedName>
    <definedName name="P3_2" localSheetId="5">#N/A</definedName>
    <definedName name="P3_2">ラインコード!P3_2</definedName>
    <definedName name="P30_2" localSheetId="3">CH</definedName>
    <definedName name="P30_2" localSheetId="5">CH</definedName>
    <definedName name="P30_2">CH</definedName>
    <definedName name="P333_2" localSheetId="3">CKA</definedName>
    <definedName name="P333_2" localSheetId="5">CKA</definedName>
    <definedName name="P333_2">CKA</definedName>
    <definedName name="p35_2" localSheetId="3">com</definedName>
    <definedName name="p35_2" localSheetId="5">com</definedName>
    <definedName name="p35_2">com</definedName>
    <definedName name="P5_2" localSheetId="3">[0]!P5_2</definedName>
    <definedName name="P5_2" localSheetId="5">#N/A</definedName>
    <definedName name="P5_2">ラインコード!P5_2</definedName>
    <definedName name="p6_2" localSheetId="3">[0]!p6_2</definedName>
    <definedName name="p6_2" localSheetId="5">#N/A</definedName>
    <definedName name="p6_2">ラインコード!p6_2</definedName>
    <definedName name="P7_2" localSheetId="3">[0]!P7_2</definedName>
    <definedName name="P7_2" localSheetId="5">#N/A</definedName>
    <definedName name="P7_2">ラインコード!P7_2</definedName>
    <definedName name="P8_2" localSheetId="3">[0]!P8_2</definedName>
    <definedName name="P8_2" localSheetId="5">#N/A</definedName>
    <definedName name="P8_2">ラインコード!P8_2</definedName>
    <definedName name="P9_2" localSheetId="3">[0]!P9_2</definedName>
    <definedName name="P9_2" localSheetId="5">#N/A</definedName>
    <definedName name="P9_2">ラインコード!P9_2</definedName>
    <definedName name="_xlnm.Print_Area" localSheetId="1">小口ラベル!$A$1:$G$38</definedName>
    <definedName name="_xlnm.Print_Area" localSheetId="2">'代替品指示書(品質)'!$A$1:$AQ$46</definedName>
    <definedName name="_xlnm.Print_Area" localSheetId="0">'納品書控(製品)'!$A$1:$AR$68</definedName>
    <definedName name="q3_2" localSheetId="3">[0]!q3_2</definedName>
    <definedName name="q3_2" localSheetId="5">#N/A</definedName>
    <definedName name="q3_2">ラインコード!q3_2</definedName>
    <definedName name="s020730_2" localSheetId="3">[0]!s020730_2</definedName>
    <definedName name="s020730_2" localSheetId="5">#N/A</definedName>
    <definedName name="s020730_2">ラインコード!s020730_2</definedName>
    <definedName name="ｓ１_2" localSheetId="3">_Dia01</definedName>
    <definedName name="ｓ１_2" localSheetId="5">_Dia01</definedName>
    <definedName name="ｓ１_2">_Dia01</definedName>
    <definedName name="ｓ２_2" localSheetId="3">_Dia03</definedName>
    <definedName name="ｓ２_2" localSheetId="5">_Dia03</definedName>
    <definedName name="ｓ２_2">_Dia03</definedName>
    <definedName name="ｓ３_2" localSheetId="3">_Dia04</definedName>
    <definedName name="ｓ３_2" localSheetId="5">_Dia04</definedName>
    <definedName name="ｓ３_2">_Dia04</definedName>
    <definedName name="ｸﾞﾗﴹ_2" localSheetId="3">[0]!ｸﾞﾗﴹ_2</definedName>
    <definedName name="ｸﾞﾗﴹ_2" localSheetId="5">#N/A</definedName>
    <definedName name="ｸﾞﾗﴹ_2">ラインコード!ｸﾞﾗﴹ_2</definedName>
    <definedName name="ｸﾞﾗହ_2" localSheetId="3">[0]!ｸﾞﾗହ_2</definedName>
    <definedName name="ｸﾞﾗହ_2" localSheetId="5">#N/A</definedName>
    <definedName name="ｸﾞﾗହ_2">ラインコード!ｸﾞﾗହ_2</definedName>
    <definedName name="ｸﾞﾗഹ_2" localSheetId="3">[0]!ｸﾞﾗഹ_2</definedName>
    <definedName name="ｸﾞﾗഹ_2" localSheetId="5">#N/A</definedName>
    <definedName name="ｸﾞﾗഹ_2">ラインコード!ｸﾞﾗഹ_2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19" i="6" l="1"/>
  <c r="S19" i="6"/>
  <c r="A19" i="6"/>
  <c r="AC17" i="6"/>
  <c r="A17" i="6"/>
  <c r="S15" i="6"/>
  <c r="A15" i="6"/>
  <c r="AC13" i="6"/>
  <c r="A13" i="6"/>
  <c r="AC11" i="6"/>
  <c r="S11" i="6"/>
  <c r="A11" i="6"/>
  <c r="AM9" i="6"/>
  <c r="AC9" i="6"/>
  <c r="A9" i="6"/>
  <c r="AB4" i="6"/>
  <c r="AH3" i="6"/>
  <c r="AC19" i="5"/>
  <c r="S19" i="5"/>
  <c r="A19" i="5"/>
  <c r="AC17" i="5"/>
  <c r="A17" i="5"/>
  <c r="S15" i="5"/>
  <c r="A15" i="5"/>
  <c r="AC13" i="5"/>
  <c r="A13" i="5"/>
  <c r="AC11" i="5"/>
  <c r="S11" i="5"/>
  <c r="A11" i="5"/>
  <c r="AM9" i="5"/>
  <c r="AC9" i="5"/>
  <c r="A9" i="5"/>
  <c r="AB4" i="5"/>
  <c r="AH3" i="5"/>
  <c r="BO69" i="3"/>
  <c r="BO68" i="3"/>
  <c r="BO67" i="3"/>
  <c r="BO66" i="3"/>
  <c r="BO65" i="3"/>
  <c r="BO64" i="3"/>
  <c r="BO63" i="3"/>
  <c r="BO62" i="3"/>
  <c r="BO61" i="3"/>
  <c r="BO60" i="3"/>
  <c r="BO59" i="3"/>
  <c r="BO58" i="3"/>
  <c r="BO57" i="3"/>
  <c r="BO56" i="3"/>
  <c r="BO55" i="3"/>
  <c r="BO54" i="3"/>
  <c r="BO53" i="3"/>
  <c r="BO52" i="3"/>
  <c r="BO51" i="3"/>
  <c r="BO50" i="3"/>
  <c r="BO49" i="3"/>
  <c r="BO48" i="3"/>
  <c r="BO47" i="3"/>
  <c r="BO46" i="3"/>
  <c r="BO45" i="3"/>
  <c r="BO44" i="3"/>
  <c r="BO43" i="3"/>
  <c r="BO42" i="3"/>
  <c r="BO41" i="3"/>
  <c r="BO40" i="3"/>
  <c r="BO39" i="3"/>
  <c r="BO38" i="3"/>
  <c r="BO37" i="3"/>
  <c r="BO36" i="3"/>
  <c r="BO35" i="3"/>
  <c r="BO34" i="3"/>
  <c r="BO33" i="3"/>
  <c r="BO32" i="3"/>
  <c r="BO31" i="3"/>
  <c r="BO30" i="3"/>
  <c r="BO29" i="3"/>
  <c r="BO28" i="3"/>
  <c r="BO27" i="3"/>
  <c r="BF27" i="3"/>
  <c r="BO26" i="3"/>
  <c r="BF26" i="3"/>
  <c r="BO25" i="3"/>
  <c r="BO24" i="3"/>
  <c r="BO23" i="3"/>
  <c r="BO22" i="3"/>
  <c r="BO21" i="3"/>
  <c r="BO20" i="3"/>
  <c r="BO18" i="3"/>
  <c r="BI18" i="3"/>
  <c r="BE18" i="3"/>
  <c r="BH18" i="3" s="1"/>
  <c r="BE10" i="3" s="1"/>
  <c r="BE17" i="3"/>
  <c r="BE16" i="3"/>
  <c r="BE14" i="3"/>
  <c r="BE12" i="3"/>
  <c r="BE11" i="3"/>
  <c r="BE8" i="3"/>
  <c r="BE4" i="3"/>
  <c r="BE3" i="3"/>
  <c r="D36" i="2"/>
  <c r="C36" i="2"/>
  <c r="C32" i="2"/>
  <c r="G28" i="2"/>
  <c r="C28" i="2"/>
  <c r="C24" i="2"/>
  <c r="C20" i="2"/>
  <c r="AC15" i="2"/>
  <c r="AC67" i="1"/>
  <c r="W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A67" i="1"/>
  <c r="AC65" i="1"/>
  <c r="W65" i="1"/>
  <c r="S65" i="1"/>
  <c r="A65" i="1"/>
  <c r="W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C63" i="1"/>
  <c r="B63" i="1"/>
  <c r="A63" i="1"/>
  <c r="AC61" i="1"/>
  <c r="W61" i="1"/>
  <c r="S61" i="1"/>
  <c r="A61" i="1"/>
  <c r="AC59" i="1"/>
  <c r="W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D59" i="1"/>
  <c r="C59" i="1"/>
  <c r="B59" i="1"/>
  <c r="A59" i="1"/>
  <c r="AM57" i="1"/>
  <c r="AC57" i="1"/>
  <c r="W57" i="1"/>
  <c r="S57" i="1"/>
  <c r="A57" i="1"/>
  <c r="AK52" i="1"/>
  <c r="AB52" i="1"/>
  <c r="AH51" i="1"/>
  <c r="AK49" i="1"/>
  <c r="AC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B44" i="1"/>
  <c r="A44" i="1"/>
  <c r="AC42" i="1"/>
  <c r="A42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A40" i="1"/>
  <c r="AC38" i="1"/>
  <c r="A38" i="1"/>
  <c r="AC36" i="1"/>
  <c r="W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B36" i="1"/>
  <c r="A36" i="1"/>
  <c r="AM34" i="1"/>
  <c r="AC34" i="1"/>
  <c r="W34" i="1"/>
  <c r="S34" i="1"/>
  <c r="A34" i="1"/>
  <c r="AK29" i="1"/>
  <c r="AB29" i="1"/>
  <c r="AH28" i="1"/>
  <c r="AK26" i="1"/>
  <c r="AC15" i="6"/>
  <c r="BL6" i="1"/>
  <c r="BL7" i="1" s="1"/>
  <c r="BL8" i="1" s="1"/>
  <c r="BL9" i="1" s="1"/>
  <c r="BL10" i="1" s="1"/>
  <c r="BL11" i="1" s="1"/>
  <c r="BL12" i="1" s="1"/>
  <c r="BL13" i="1" s="1"/>
  <c r="BL14" i="1" s="1"/>
  <c r="BL15" i="1" s="1"/>
  <c r="BL16" i="1" s="1"/>
  <c r="BL17" i="1" s="1"/>
  <c r="AB6" i="1"/>
  <c r="AB6" i="6" s="1"/>
  <c r="AM4" i="1"/>
  <c r="AM4" i="6" s="1"/>
  <c r="BE9" i="3" l="1"/>
  <c r="AB31" i="1"/>
  <c r="AM29" i="1"/>
  <c r="AC40" i="1"/>
  <c r="AM52" i="1"/>
  <c r="AC63" i="1"/>
  <c r="AB54" i="1"/>
  <c r="AM4" i="5"/>
  <c r="AC15" i="5"/>
  <c r="AB6" i="5"/>
</calcChain>
</file>

<file path=xl/sharedStrings.xml><?xml version="1.0" encoding="utf-8"?>
<sst xmlns="http://schemas.openxmlformats.org/spreadsheetml/2006/main" count="276" uniqueCount="159">
  <si>
    <t xml:space="preserve"> 納  品  書  控 </t>
  </si>
  <si>
    <t>No.</t>
  </si>
  <si>
    <t>伝  票  種  別</t>
  </si>
  <si>
    <t>S</t>
  </si>
  <si>
    <t>Ｎ</t>
  </si>
  <si>
    <t>2024年11月18日</t>
  </si>
  <si>
    <t>出庫元  コード</t>
  </si>
  <si>
    <t>Ｉ</t>
  </si>
  <si>
    <t>Ｗ</t>
  </si>
  <si>
    <t>出庫先 コード</t>
  </si>
  <si>
    <t>F</t>
  </si>
  <si>
    <t>T</t>
  </si>
  <si>
    <t>1梱包</t>
  </si>
  <si>
    <t>北</t>
  </si>
  <si>
    <t>商     品     コ     ー     ド</t>
  </si>
  <si>
    <t>数     量</t>
  </si>
  <si>
    <t>ロ ケ ー シ ョ ン</t>
  </si>
  <si>
    <t>摘                        要</t>
  </si>
  <si>
    <t>代替品</t>
  </si>
  <si>
    <t>TF-165242-CJRF</t>
  </si>
  <si>
    <t>1</t>
  </si>
  <si>
    <t>届け先：</t>
  </si>
  <si>
    <t>１３２小野寺　勇紀様邸／東和仙台南店様</t>
  </si>
  <si>
    <t xml:space="preserve"> 入  力  票  </t>
  </si>
  <si>
    <t xml:space="preserve"> 受  領  書 </t>
  </si>
  <si>
    <t>AC9-1</t>
  </si>
  <si>
    <t>DNZ9</t>
  </si>
  <si>
    <t>AC9</t>
  </si>
  <si>
    <t>598222</t>
  </si>
  <si>
    <t>AC11</t>
  </si>
  <si>
    <t>（株）ＬＩＸＩＬトータル販売仙台（１課）</t>
  </si>
  <si>
    <t>AC17</t>
  </si>
  <si>
    <t>027212</t>
  </si>
  <si>
    <t>AC19</t>
  </si>
  <si>
    <t>A11</t>
  </si>
  <si>
    <t>S11</t>
  </si>
  <si>
    <t>品    名</t>
  </si>
  <si>
    <t>寸    法</t>
  </si>
  <si>
    <t>BGT6-621427</t>
  </si>
  <si>
    <t>コ  ー  ド</t>
  </si>
  <si>
    <t>①</t>
  </si>
  <si>
    <t>ヤマリ日軽住建㈱CM第三倉庫様</t>
  </si>
  <si>
    <t>送  り  先</t>
  </si>
  <si>
    <t>現場名：007183</t>
  </si>
  <si>
    <t>物    流</t>
  </si>
  <si>
    <t>東物//</t>
  </si>
  <si>
    <t>ホーム創建/髙野篤人様邸新築</t>
  </si>
  <si>
    <t>不具合代替品製作依頼書            兼 製品検査表</t>
  </si>
  <si>
    <t>依頼担当</t>
  </si>
  <si>
    <t>《納期》</t>
  </si>
  <si>
    <t>《備考》</t>
  </si>
  <si>
    <t>4か所記入</t>
  </si>
  <si>
    <t>上げ</t>
  </si>
  <si>
    <t>①ライン名</t>
  </si>
  <si>
    <t>時迄に</t>
  </si>
  <si>
    <t>北物</t>
  </si>
  <si>
    <t>代替品製作依頼</t>
  </si>
  <si>
    <t>ラインコード：</t>
  </si>
  <si>
    <t>組検に入れて下さい。</t>
  </si>
  <si>
    <t>②入力区分</t>
  </si>
  <si>
    <t>お疲れ様です。</t>
  </si>
  <si>
    <t>③</t>
  </si>
  <si>
    <t>依頼担当者</t>
  </si>
  <si>
    <t>「</t>
  </si>
  <si>
    <t>商品コード</t>
  </si>
  <si>
    <t>型番</t>
  </si>
  <si>
    <t>④規格/特注</t>
  </si>
  <si>
    <t>宜しくお願い致します。</t>
  </si>
  <si>
    <t>機種/部材名</t>
  </si>
  <si>
    <t>数量</t>
  </si>
  <si>
    <t>≪JX1、JS8、網戸系のみ≫</t>
  </si>
  <si>
    <t>・</t>
  </si>
  <si>
    <t>入力済</t>
  </si>
  <si>
    <t>⑤不具合内容</t>
  </si>
  <si>
    <t>検査内容</t>
  </si>
  <si>
    <t>品質保証課</t>
  </si>
  <si>
    <t>品質担当</t>
  </si>
  <si>
    <t>班長</t>
  </si>
  <si>
    <t>出荷担当者</t>
  </si>
  <si>
    <t>作番製作お願い致します。（023R）</t>
  </si>
  <si>
    <t>検査項目</t>
  </si>
  <si>
    <t>検査基準</t>
  </si>
  <si>
    <t>判定</t>
  </si>
  <si>
    <t>基本寸法</t>
  </si>
  <si>
    <t>寸法</t>
  </si>
  <si>
    <t>対辺差</t>
  </si>
  <si>
    <t>框</t>
  </si>
  <si>
    <t>框の出来寸法(W･H)</t>
  </si>
  <si>
    <t>±1mm</t>
  </si>
  <si>
    <t>可・否</t>
  </si>
  <si>
    <t>上げ日</t>
  </si>
  <si>
    <t>框の段差･面ズレ</t>
  </si>
  <si>
    <t>±0.3mm</t>
  </si>
  <si>
    <t>②</t>
  </si>
  <si>
    <t>物流入り日</t>
  </si>
  <si>
    <t>水切りパッキンのクセ</t>
  </si>
  <si>
    <t>無い事</t>
  </si>
  <si>
    <t>ハンドルキャップの付け間違い</t>
  </si>
  <si>
    <t>④</t>
  </si>
  <si>
    <t>【作番製作用】</t>
  </si>
  <si>
    <t>スライドのサイズ違い</t>
  </si>
  <si>
    <t>⑤</t>
  </si>
  <si>
    <t>■生産作番：</t>
  </si>
  <si>
    <t>枠</t>
  </si>
  <si>
    <t>枠の出来寸法(W･H)</t>
  </si>
  <si>
    <t>±1.5mm</t>
  </si>
  <si>
    <t>⑥</t>
  </si>
  <si>
    <t>■生産時間：</t>
  </si>
  <si>
    <t>枠の出来寸法(ﾁﾘ･対辺差)</t>
  </si>
  <si>
    <t>±2mm</t>
  </si>
  <si>
    <t>⑦</t>
  </si>
  <si>
    <t>枠の対角寸法</t>
  </si>
  <si>
    <t>差3mm</t>
  </si>
  <si>
    <t>枠の段差･面ズレ</t>
  </si>
  <si>
    <t>⑧</t>
  </si>
  <si>
    <t>セッティングブロック数</t>
  </si>
  <si>
    <t>４個</t>
  </si>
  <si>
    <t>⑨</t>
  </si>
  <si>
    <t>ソリ(W･H)</t>
  </si>
  <si>
    <t>±1mm/1m</t>
  </si>
  <si>
    <t>⑩</t>
  </si>
  <si>
    <t>部品セット(ﾋﾞｽの数･ﾗｲﾅｰ数･金具数)</t>
  </si>
  <si>
    <t>有る事</t>
  </si>
  <si>
    <t>⑪</t>
  </si>
  <si>
    <t>【4枚建て説明用】</t>
  </si>
  <si>
    <t>躯体穴・釘穴</t>
  </si>
  <si>
    <t>空いている事</t>
  </si>
  <si>
    <t>⑫</t>
  </si>
  <si>
    <t>枠･框</t>
  </si>
  <si>
    <t>キズ</t>
  </si>
  <si>
    <t>⑬</t>
  </si>
  <si>
    <t>－</t>
  </si>
  <si>
    <t>押縁の隙間</t>
  </si>
  <si>
    <t>⑭</t>
  </si>
  <si>
    <t>ビート勘合部の隙間(ﾎﾞﾝﾄﾞの有無)</t>
  </si>
  <si>
    <t>タッチアップの濃さ</t>
  </si>
  <si>
    <t>下地が見えない事</t>
  </si>
  <si>
    <t>硝子の入れ間違い</t>
  </si>
  <si>
    <t>※全ての項目で可にならないと再生産する事</t>
  </si>
  <si>
    <t>ラインコード</t>
  </si>
  <si>
    <t>メールアドレス：宛先</t>
  </si>
  <si>
    <t>CC</t>
  </si>
  <si>
    <t>9148JX11</t>
  </si>
  <si>
    <t>川岸 翼(Tsubasa Kawagishi) &lt;tsubasa.kawagishi@lixil.com&gt;; 長谷川 真(Makoto Hasegawa) &lt;makoto.hasegawa@lixil.com&gt;; 今 裕司(Hiroshi Konn) &lt;hiroshi.konn@lixil.com&gt;;望月 柊太(Shuta Mochizuki) &lt;shuta.mochizuki@lixil.com&gt;; 団 孝弘(Takahiro Dan) &lt;takahiro.dan@lixil.com&gt;</t>
  </si>
  <si>
    <t>片岡 寛(Hiroshi Kataoa)&lt;hiroshi.kataoka@liil.com&gt;;増尾 美加(Mika Masuo)&lt;mika.masuo@lixil.com&gt;;yuya.hasuike@lixil.com;shintaro.takasaki@lixil.com;山本 忠志(Tadashi Yamamoto) &lt;tadashi.yamamoto@lixil.com&gt;</t>
  </si>
  <si>
    <t>9148JX12</t>
  </si>
  <si>
    <t>9148JX13</t>
  </si>
  <si>
    <t>9148JSR</t>
  </si>
  <si>
    <t>吉原 玲綺(Reiki Yoshihara)&lt;reiki.yoshihara@lixil.com&gt;;中谷 拓朗(Takurou Nakaya) &lt;takuro.nakaya@lixil.com&gt;</t>
  </si>
  <si>
    <t>中村 洋枝(Hiroe Nakamura) &lt;hiroe.nakamura@lixil.com&gt;; 佐々木 舞(Mai Sasaki) &lt;m97.sasaki@lixil.com&gt;; 松山 康俊(Yasutoshi Matsuyama) &lt;yasutoshi.matsuyama@lixil.com&gt;;片岡 寛(Hiroshi Kataoka) &lt;hiroshi.kataoka@lixil.com&gt;; 増尾 美加(Mika Masuo) &lt;mika.masuo@lixil.com&gt;;蓮池 佑哉 &lt;yuya.hasuike@lixil.com&gt;;髙崎 慎太郎(Shintaro Takasaki) &lt;shintaro.takasaki@lixil.com&gt;;山本 忠志(Tadashi Yamamoto) &lt;tadashi.yamamoto@lixil.com&gt;</t>
  </si>
  <si>
    <t>9148AT3</t>
  </si>
  <si>
    <t>9148AT2</t>
  </si>
  <si>
    <t>9148JEC</t>
  </si>
  <si>
    <t>柴山 進也(Shinya Shibayama) &lt;shinya.shibayama@lixil.com&gt;;中谷 拓朗(Takurou Nakaya) &lt;takuro.nakaya@lixil.com&gt;</t>
  </si>
  <si>
    <t>9148JS81</t>
  </si>
  <si>
    <t xml:space="preserve"> 細野 拓斗(Takuto Hosono)&lt;takuto.hosono@lixil.com&gt;;久保田 仁志(Hitoshi Kubota) &lt;hitoshi.kubota@lixil.com&gt;;倉橋 匡史(tadashi kurahashi) &lt;tadashi.kurahashi@lixil.com&gt;</t>
  </si>
  <si>
    <t>片岡 寛(Hiroshi Kataoa)&lt;hiroshi.kataoka@liil.com&gt;;中田 満(Mitsuru Nakata) &lt;mitsuru.nakata@lixil.com&gt;; 増尾 美加(Mika Masuo)&lt;mika.masuo@lixil.com&gt;;蓮池 佑哉(Yuya Hasuike)&lt;yuya.hasuike@lixil.com＞；高崎慎太郎(Shintaro Takasaki)&lt;shintaro.takasaki@lixil.com&gt;</t>
  </si>
  <si>
    <t>現場名：</t>
    <phoneticPr fontId="4"/>
  </si>
  <si>
    <t>代替品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</si>
</sst>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&quot;年&quot;m&quot;月&quot;d&quot;日&quot;;@"/>
    <numFmt numFmtId="177" formatCode="m/d;@"/>
    <numFmt numFmtId="178" formatCode="[$-F800]dddd\,\ mmmm\ dd\,\ yyyy"/>
  </numFmts>
  <fonts count="3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theme="1"/>
      <name val="Meiryo UI"/>
      <family val="3"/>
      <charset val="128"/>
    </font>
    <font>
      <sz val="6"/>
      <name val="游ゴシック"/>
      <family val="2"/>
      <charset val="128"/>
      <scheme val="minor"/>
    </font>
    <font>
      <u val="double"/>
      <sz val="20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u val="double"/>
      <sz val="18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u val="double"/>
      <sz val="16"/>
      <color theme="1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2"/>
      <color theme="1"/>
      <name val="Meiryo UI"/>
      <family val="3"/>
      <charset val="128"/>
    </font>
    <font>
      <sz val="18"/>
      <color theme="1"/>
      <name val="HG明朝B"/>
      <family val="1"/>
      <charset val="128"/>
    </font>
    <font>
      <sz val="11"/>
      <color theme="1"/>
      <name val="HG明朝B"/>
      <family val="1"/>
      <charset val="128"/>
    </font>
    <font>
      <sz val="14"/>
      <color theme="1"/>
      <name val="HG明朝B"/>
      <family val="1"/>
      <charset val="128"/>
    </font>
    <font>
      <sz val="18"/>
      <color rgb="FF000000"/>
      <name val="Meiryo UI"/>
      <family val="3"/>
      <charset val="128"/>
    </font>
    <font>
      <b/>
      <sz val="20"/>
      <color rgb="FF000000"/>
      <name val="Meiryo UI"/>
      <family val="3"/>
      <charset val="128"/>
    </font>
    <font>
      <sz val="12"/>
      <name val="HG丸ｺﾞｼｯｸM-PRO"/>
      <family val="3"/>
      <charset val="128"/>
    </font>
    <font>
      <b/>
      <sz val="24"/>
      <name val="HG丸ｺﾞｼｯｸM-PRO"/>
      <family val="3"/>
      <charset val="128"/>
    </font>
    <font>
      <sz val="12"/>
      <name val="Meiryo UI"/>
      <family val="3"/>
      <charset val="128"/>
    </font>
    <font>
      <sz val="18"/>
      <name val="HG丸ｺﾞｼｯｸM-PRO"/>
      <family val="3"/>
      <charset val="128"/>
    </font>
    <font>
      <b/>
      <sz val="26"/>
      <name val="HG丸ｺﾞｼｯｸM-PRO"/>
      <family val="3"/>
      <charset val="128"/>
    </font>
    <font>
      <u/>
      <sz val="12"/>
      <color theme="10"/>
      <name val="HG丸ｺﾞｼｯｸM-PRO"/>
      <family val="3"/>
      <charset val="128"/>
    </font>
    <font>
      <sz val="18"/>
      <name val="Meiryo UI"/>
      <family val="3"/>
      <charset val="128"/>
    </font>
    <font>
      <b/>
      <sz val="22"/>
      <name val="Meiryo UI"/>
      <family val="3"/>
      <charset val="128"/>
    </font>
    <font>
      <b/>
      <sz val="28"/>
      <name val="HG丸ｺﾞｼｯｸM-PRO"/>
      <family val="3"/>
      <charset val="128"/>
    </font>
    <font>
      <b/>
      <sz val="14"/>
      <name val="HG丸ｺﾞｼｯｸM-PRO"/>
      <family val="3"/>
      <charset val="128"/>
    </font>
    <font>
      <sz val="28"/>
      <name val="Meiryo UI"/>
      <family val="3"/>
      <charset val="128"/>
    </font>
    <font>
      <sz val="14"/>
      <color rgb="FF000000"/>
      <name val="HG創英角ﾎﾟｯﾌﾟ体"/>
      <family val="3"/>
      <charset val="128"/>
    </font>
    <font>
      <sz val="11"/>
      <color rgb="FF000000"/>
      <name val="Meiryo UI"/>
      <family val="3"/>
      <charset val="128"/>
    </font>
    <font>
      <sz val="20"/>
      <name val="HG丸ｺﾞｼｯｸM-PRO"/>
      <family val="3"/>
      <charset val="128"/>
    </font>
    <font>
      <b/>
      <sz val="14"/>
      <color rgb="FF000000"/>
      <name val="游ゴシック"/>
      <family val="3"/>
      <charset val="128"/>
    </font>
    <font>
      <sz val="18"/>
      <color rgb="FF000000"/>
      <name val="游ゴシック"/>
      <family val="3"/>
      <charset val="128"/>
    </font>
    <font>
      <sz val="16"/>
      <color rgb="FF000000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8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Dot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DashDot">
        <color indexed="64"/>
      </bottom>
      <diagonal/>
    </border>
    <border>
      <left/>
      <right style="thin">
        <color indexed="64"/>
      </right>
      <top/>
      <bottom style="mediumDashDot">
        <color indexed="64"/>
      </bottom>
      <diagonal/>
    </border>
    <border>
      <left/>
      <right style="mediumDashDot">
        <color indexed="64"/>
      </right>
      <top/>
      <bottom/>
      <diagonal/>
    </border>
    <border>
      <left/>
      <right style="mediumDashDot">
        <color indexed="64"/>
      </right>
      <top style="thin">
        <color indexed="64"/>
      </top>
      <bottom/>
      <diagonal/>
    </border>
    <border>
      <left/>
      <right style="mediumDashDot">
        <color indexed="64"/>
      </right>
      <top/>
      <bottom style="thin">
        <color indexed="64"/>
      </bottom>
      <diagonal/>
    </border>
    <border>
      <left/>
      <right style="mediumDashDot">
        <color indexed="64"/>
      </right>
      <top/>
      <bottom style="mediumDashDot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dashDot">
        <color auto="1"/>
      </right>
      <top/>
      <bottom/>
      <diagonal/>
    </border>
    <border>
      <left/>
      <right/>
      <top style="dashDot">
        <color auto="1"/>
      </top>
      <bottom style="dashDot">
        <color auto="1"/>
      </bottom>
      <diagonal/>
    </border>
    <border>
      <left/>
      <right style="dashDot">
        <color auto="1"/>
      </right>
      <top style="dashDot">
        <color auto="1"/>
      </top>
      <bottom style="dashDot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ashDot">
        <color auto="1"/>
      </left>
      <right/>
      <top/>
      <bottom style="dashDot">
        <color auto="1"/>
      </bottom>
      <diagonal/>
    </border>
    <border>
      <left/>
      <right/>
      <top/>
      <bottom style="dashDot">
        <color auto="1"/>
      </bottom>
      <diagonal/>
    </border>
    <border>
      <left/>
      <right style="dashDot">
        <color auto="1"/>
      </right>
      <top/>
      <bottom style="dashDot">
        <color auto="1"/>
      </bottom>
      <diagonal/>
    </border>
    <border>
      <left style="dashDot">
        <color auto="1"/>
      </left>
      <right/>
      <top/>
      <bottom/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ashDot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DashDot">
        <color indexed="64"/>
      </right>
      <top/>
      <bottom style="thin">
        <color indexed="64"/>
      </bottom>
      <diagonal/>
    </border>
    <border>
      <left style="thin">
        <color indexed="64"/>
      </left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/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/>
      <top style="thin">
        <color indexed="64"/>
      </top>
      <bottom style="mediumDashDot">
        <color indexed="64"/>
      </bottom>
      <diagonal/>
    </border>
    <border>
      <left/>
      <right style="mediumDashDot">
        <color indexed="64"/>
      </right>
      <top style="thin">
        <color indexed="64"/>
      </top>
      <bottom style="mediumDashDot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Dot">
        <color indexed="64"/>
      </left>
      <right style="thin">
        <color indexed="64"/>
      </right>
      <top style="thin">
        <color indexed="64"/>
      </top>
      <bottom style="dashDot">
        <color indexed="64"/>
      </bottom>
      <diagonal/>
    </border>
    <border>
      <left style="dashDot">
        <color indexed="64"/>
      </left>
      <right/>
      <top/>
      <bottom style="dashDot">
        <color indexed="64"/>
      </bottom>
      <diagonal/>
    </border>
    <border>
      <left/>
      <right/>
      <top/>
      <bottom style="dashDot">
        <color indexed="64"/>
      </bottom>
      <diagonal/>
    </border>
    <border>
      <left style="dashed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38" fontId="12" fillId="0" borderId="0">
      <alignment vertical="center"/>
    </xf>
    <xf numFmtId="0" fontId="19" fillId="0" borderId="0"/>
    <xf numFmtId="0" fontId="24" fillId="0" borderId="0"/>
    <xf numFmtId="0" fontId="2" fillId="0" borderId="0">
      <alignment vertical="center"/>
    </xf>
  </cellStyleXfs>
  <cellXfs count="199"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shrinkToFit="1"/>
    </xf>
    <xf numFmtId="0" fontId="3" fillId="0" borderId="21" xfId="0" applyFont="1" applyBorder="1" applyAlignment="1">
      <alignment vertical="center" shrinkToFit="1"/>
    </xf>
    <xf numFmtId="0" fontId="3" fillId="0" borderId="19" xfId="0" applyFont="1" applyBorder="1" applyAlignment="1">
      <alignment vertical="center"/>
    </xf>
    <xf numFmtId="0" fontId="3" fillId="0" borderId="20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3" fillId="0" borderId="31" xfId="0" applyFont="1" applyBorder="1" applyAlignment="1">
      <alignment vertical="center"/>
    </xf>
    <xf numFmtId="0" fontId="19" fillId="0" borderId="6" xfId="2" applyBorder="1" applyAlignment="1">
      <alignment vertical="center"/>
    </xf>
    <xf numFmtId="0" fontId="19" fillId="0" borderId="7" xfId="2" applyBorder="1" applyAlignment="1">
      <alignment vertical="center"/>
    </xf>
    <xf numFmtId="0" fontId="19" fillId="0" borderId="8" xfId="2" applyBorder="1" applyAlignment="1">
      <alignment vertical="center"/>
    </xf>
    <xf numFmtId="0" fontId="19" fillId="0" borderId="32" xfId="2" applyBorder="1" applyAlignment="1">
      <alignment vertical="center"/>
    </xf>
    <xf numFmtId="0" fontId="19" fillId="0" borderId="17" xfId="2" applyBorder="1" applyAlignment="1">
      <alignment vertical="center"/>
    </xf>
    <xf numFmtId="0" fontId="19" fillId="0" borderId="15" xfId="2" applyBorder="1" applyAlignment="1">
      <alignment vertical="center"/>
    </xf>
    <xf numFmtId="0" fontId="19" fillId="0" borderId="18" xfId="2" applyBorder="1" applyAlignment="1">
      <alignment vertical="center"/>
    </xf>
    <xf numFmtId="0" fontId="19" fillId="0" borderId="37" xfId="2" applyBorder="1" applyAlignment="1">
      <alignment vertical="center"/>
    </xf>
    <xf numFmtId="0" fontId="19" fillId="0" borderId="38" xfId="2" applyBorder="1" applyAlignment="1">
      <alignment vertical="center"/>
    </xf>
    <xf numFmtId="0" fontId="21" fillId="2" borderId="39" xfId="2" applyFont="1" applyFill="1" applyBorder="1" applyAlignment="1">
      <alignment vertical="center"/>
    </xf>
    <xf numFmtId="0" fontId="19" fillId="2" borderId="39" xfId="2" applyFill="1" applyBorder="1" applyAlignment="1">
      <alignment vertical="center"/>
    </xf>
    <xf numFmtId="0" fontId="19" fillId="2" borderId="40" xfId="2" applyFill="1" applyBorder="1" applyAlignment="1">
      <alignment vertical="center"/>
    </xf>
    <xf numFmtId="0" fontId="19" fillId="0" borderId="20" xfId="2" applyBorder="1" applyAlignment="1">
      <alignment vertical="center"/>
    </xf>
    <xf numFmtId="0" fontId="21" fillId="0" borderId="0" xfId="3" applyFont="1" applyAlignment="1">
      <alignment vertical="center"/>
    </xf>
    <xf numFmtId="0" fontId="25" fillId="0" borderId="0" xfId="3" applyFont="1" applyAlignment="1">
      <alignment vertical="center"/>
    </xf>
    <xf numFmtId="0" fontId="19" fillId="0" borderId="43" xfId="2" applyBorder="1" applyAlignment="1">
      <alignment vertical="center"/>
    </xf>
    <xf numFmtId="0" fontId="19" fillId="0" borderId="44" xfId="2" applyBorder="1" applyAlignment="1">
      <alignment vertical="center"/>
    </xf>
    <xf numFmtId="0" fontId="19" fillId="0" borderId="48" xfId="2" applyBorder="1" applyAlignment="1">
      <alignment vertical="center"/>
    </xf>
    <xf numFmtId="0" fontId="19" fillId="0" borderId="50" xfId="2" applyBorder="1" applyAlignment="1">
      <alignment vertical="center"/>
    </xf>
    <xf numFmtId="0" fontId="19" fillId="0" borderId="19" xfId="2" applyBorder="1" applyAlignment="1">
      <alignment vertical="center"/>
    </xf>
    <xf numFmtId="0" fontId="21" fillId="0" borderId="0" xfId="2" applyFont="1" applyAlignment="1">
      <alignment vertical="center"/>
    </xf>
    <xf numFmtId="0" fontId="21" fillId="0" borderId="48" xfId="2" applyFont="1" applyBorder="1" applyAlignment="1">
      <alignment vertical="center"/>
    </xf>
    <xf numFmtId="0" fontId="19" fillId="0" borderId="49" xfId="2" applyBorder="1" applyAlignment="1">
      <alignment vertical="center"/>
    </xf>
    <xf numFmtId="0" fontId="19" fillId="0" borderId="23" xfId="2" applyBorder="1" applyAlignment="1">
      <alignment vertical="center"/>
    </xf>
    <xf numFmtId="0" fontId="19" fillId="0" borderId="1" xfId="2" applyBorder="1" applyAlignment="1">
      <alignment vertical="center"/>
    </xf>
    <xf numFmtId="0" fontId="19" fillId="0" borderId="24" xfId="2" applyBorder="1" applyAlignment="1">
      <alignment vertical="center"/>
    </xf>
    <xf numFmtId="0" fontId="19" fillId="0" borderId="51" xfId="2" applyBorder="1"/>
    <xf numFmtId="0" fontId="19" fillId="0" borderId="52" xfId="2" applyBorder="1" applyAlignment="1">
      <alignment horizontal="center" vertical="center"/>
    </xf>
    <xf numFmtId="0" fontId="19" fillId="0" borderId="53" xfId="2" applyBorder="1" applyAlignment="1">
      <alignment horizontal="center" vertical="center"/>
    </xf>
    <xf numFmtId="0" fontId="19" fillId="0" borderId="54" xfId="2" applyBorder="1" applyAlignment="1">
      <alignment horizontal="center" vertical="center"/>
    </xf>
    <xf numFmtId="0" fontId="19" fillId="0" borderId="52" xfId="2" applyBorder="1" applyAlignment="1">
      <alignment vertical="center"/>
    </xf>
    <xf numFmtId="0" fontId="19" fillId="0" borderId="53" xfId="2" applyBorder="1" applyAlignment="1">
      <alignment vertical="center"/>
    </xf>
    <xf numFmtId="0" fontId="19" fillId="0" borderId="54" xfId="2" applyBorder="1" applyAlignment="1">
      <alignment vertical="center"/>
    </xf>
    <xf numFmtId="0" fontId="19" fillId="0" borderId="0" xfId="2"/>
    <xf numFmtId="56" fontId="19" fillId="0" borderId="0" xfId="2" applyNumberFormat="1" applyAlignment="1">
      <alignment vertical="center"/>
    </xf>
    <xf numFmtId="0" fontId="19" fillId="0" borderId="9" xfId="2" applyBorder="1" applyAlignment="1">
      <alignment vertical="center"/>
    </xf>
    <xf numFmtId="0" fontId="19" fillId="0" borderId="10" xfId="2" applyBorder="1" applyAlignment="1">
      <alignment vertical="center"/>
    </xf>
    <xf numFmtId="0" fontId="19" fillId="0" borderId="12" xfId="2" applyBorder="1" applyAlignment="1">
      <alignment vertical="center"/>
    </xf>
    <xf numFmtId="0" fontId="2" fillId="0" borderId="0" xfId="4" applyAlignment="1">
      <alignment horizontal="center" vertical="center"/>
    </xf>
    <xf numFmtId="0" fontId="2" fillId="0" borderId="0" xfId="4" applyAlignment="1">
      <alignment vertical="center"/>
    </xf>
    <xf numFmtId="0" fontId="19" fillId="0" borderId="60" xfId="2" applyBorder="1" applyAlignment="1">
      <alignment vertical="center"/>
    </xf>
    <xf numFmtId="0" fontId="19" fillId="0" borderId="51" xfId="2" applyBorder="1" applyAlignment="1">
      <alignment vertical="center"/>
    </xf>
    <xf numFmtId="0" fontId="9" fillId="0" borderId="1" xfId="0" applyFont="1" applyBorder="1" applyAlignment="1">
      <alignment vertical="center" shrinkToFit="1"/>
    </xf>
    <xf numFmtId="0" fontId="9" fillId="0" borderId="1" xfId="0" applyFont="1" applyBorder="1" applyAlignment="1">
      <alignment horizontal="right" vertical="center" shrinkToFit="1"/>
    </xf>
    <xf numFmtId="0" fontId="5" fillId="0" borderId="0" xfId="0" applyFont="1" applyAlignment="1">
      <alignment vertical="center" shrinkToFit="1"/>
    </xf>
    <xf numFmtId="0" fontId="7" fillId="0" borderId="0" xfId="0" applyFont="1" applyAlignment="1">
      <alignment vertical="center" shrinkToFit="1"/>
    </xf>
    <xf numFmtId="0" fontId="9" fillId="0" borderId="0" xfId="0" applyFont="1" applyAlignment="1">
      <alignment vertical="center" shrinkToFit="1"/>
    </xf>
    <xf numFmtId="0" fontId="6" fillId="0" borderId="0" xfId="0" applyFont="1" applyAlignment="1">
      <alignment vertical="center" shrinkToFit="1"/>
    </xf>
    <xf numFmtId="0" fontId="6" fillId="0" borderId="10" xfId="0" applyFont="1" applyBorder="1" applyAlignment="1">
      <alignment vertical="center" shrinkToFit="1"/>
    </xf>
    <xf numFmtId="0" fontId="3" fillId="4" borderId="0" xfId="0" applyFont="1" applyFill="1" applyAlignment="1">
      <alignment vertical="center"/>
    </xf>
    <xf numFmtId="56" fontId="19" fillId="0" borderId="0" xfId="2" applyNumberFormat="1"/>
    <xf numFmtId="0" fontId="19" fillId="5" borderId="0" xfId="2" applyFill="1" applyAlignment="1">
      <alignment vertical="center"/>
    </xf>
    <xf numFmtId="0" fontId="19" fillId="0" borderId="2" xfId="2" applyBorder="1" applyAlignment="1">
      <alignment horizontal="right" vertical="center"/>
    </xf>
    <xf numFmtId="0" fontId="1" fillId="0" borderId="0" xfId="4" applyFont="1" applyAlignment="1">
      <alignment vertical="center"/>
    </xf>
    <xf numFmtId="0" fontId="19" fillId="0" borderId="36" xfId="2" applyBorder="1" applyAlignment="1">
      <alignment horizontal="center" vertical="center"/>
    </xf>
    <xf numFmtId="0" fontId="19" fillId="0" borderId="14" xfId="2" applyBorder="1" applyAlignment="1">
      <alignment horizontal="center" vertical="center"/>
    </xf>
    <xf numFmtId="0" fontId="19" fillId="0" borderId="35" xfId="2" applyBorder="1" applyAlignment="1">
      <alignment vertical="center"/>
    </xf>
    <xf numFmtId="0" fontId="19" fillId="0" borderId="36" xfId="2" applyBorder="1" applyAlignment="1">
      <alignment vertical="center"/>
    </xf>
    <xf numFmtId="0" fontId="19" fillId="0" borderId="14" xfId="2" applyBorder="1" applyAlignment="1">
      <alignment vertical="center"/>
    </xf>
    <xf numFmtId="0" fontId="3" fillId="0" borderId="0" xfId="0" applyFont="1" applyAlignment="1">
      <alignment vertical="center" shrinkToFit="1"/>
    </xf>
    <xf numFmtId="0" fontId="3" fillId="0" borderId="0" xfId="0" applyFont="1" applyAlignment="1">
      <alignment horizontal="left" vertical="center" shrinkToFit="1"/>
    </xf>
    <xf numFmtId="0" fontId="3" fillId="0" borderId="0" xfId="0" applyFont="1" applyAlignment="1">
      <alignment vertical="center"/>
    </xf>
    <xf numFmtId="0" fontId="19" fillId="0" borderId="2" xfId="2" applyBorder="1" applyAlignment="1">
      <alignment horizontal="center" vertical="center"/>
    </xf>
    <xf numFmtId="0" fontId="19" fillId="0" borderId="0" xfId="2" applyAlignment="1">
      <alignment vertical="center"/>
    </xf>
    <xf numFmtId="0" fontId="19" fillId="0" borderId="2" xfId="2" applyBorder="1" applyAlignment="1">
      <alignment vertical="center"/>
    </xf>
    <xf numFmtId="0" fontId="19" fillId="0" borderId="35" xfId="2" applyBorder="1" applyAlignment="1">
      <alignment horizontal="center" vertical="center"/>
    </xf>
    <xf numFmtId="176" fontId="3" fillId="0" borderId="0" xfId="0" applyNumberFormat="1" applyFont="1" applyAlignment="1">
      <alignment vertical="center" shrinkToFit="1"/>
    </xf>
    <xf numFmtId="177" fontId="19" fillId="0" borderId="2" xfId="2" applyNumberFormat="1" applyBorder="1" applyAlignment="1">
      <alignment vertical="center"/>
    </xf>
    <xf numFmtId="0" fontId="6" fillId="0" borderId="0" xfId="0" applyFont="1" applyBorder="1" applyAlignment="1">
      <alignment vertical="center" shrinkToFit="1"/>
    </xf>
    <xf numFmtId="0" fontId="8" fillId="0" borderId="2" xfId="0" applyFont="1" applyBorder="1" applyAlignment="1">
      <alignment horizontal="center" vertical="center" shrinkToFit="1"/>
    </xf>
    <xf numFmtId="0" fontId="0" fillId="0" borderId="2" xfId="0" applyBorder="1" applyAlignment="1"/>
    <xf numFmtId="0" fontId="3" fillId="0" borderId="2" xfId="0" applyFont="1" applyBorder="1" applyAlignment="1">
      <alignment horizontal="center" vertical="center" shrinkToFit="1"/>
    </xf>
    <xf numFmtId="0" fontId="10" fillId="0" borderId="2" xfId="0" applyFont="1" applyBorder="1" applyAlignment="1">
      <alignment horizontal="center" vertical="center" shrinkToFit="1"/>
    </xf>
    <xf numFmtId="0" fontId="0" fillId="0" borderId="15" xfId="0" applyBorder="1" applyAlignment="1"/>
    <xf numFmtId="0" fontId="0" fillId="0" borderId="18" xfId="0" applyBorder="1" applyAlignment="1"/>
    <xf numFmtId="0" fontId="0" fillId="0" borderId="23" xfId="0" applyBorder="1" applyAlignment="1"/>
    <xf numFmtId="0" fontId="0" fillId="0" borderId="1" xfId="0" applyBorder="1" applyAlignment="1"/>
    <xf numFmtId="0" fontId="0" fillId="0" borderId="24" xfId="0" applyBorder="1" applyAlignment="1"/>
    <xf numFmtId="0" fontId="9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3" fillId="0" borderId="0" xfId="0" applyFont="1" applyAlignment="1">
      <alignment vertical="center" shrinkToFit="1"/>
    </xf>
    <xf numFmtId="0" fontId="6" fillId="0" borderId="2" xfId="0" applyFont="1" applyBorder="1" applyAlignment="1">
      <alignment horizontal="left" vertical="center" shrinkToFit="1"/>
    </xf>
    <xf numFmtId="0" fontId="9" fillId="0" borderId="2" xfId="0" applyFont="1" applyBorder="1" applyAlignment="1">
      <alignment horizontal="center" vertical="center" shrinkToFit="1"/>
    </xf>
    <xf numFmtId="0" fontId="13" fillId="0" borderId="15" xfId="0" applyFont="1" applyBorder="1" applyAlignment="1">
      <alignment horizontal="center" vertical="center" shrinkToFit="1"/>
    </xf>
    <xf numFmtId="0" fontId="3" fillId="0" borderId="2" xfId="0" applyFont="1" applyBorder="1" applyAlignment="1" applyProtection="1">
      <alignment horizontal="center" vertical="center" shrinkToFit="1"/>
      <protection locked="0"/>
    </xf>
    <xf numFmtId="0" fontId="0" fillId="0" borderId="2" xfId="0" applyBorder="1" applyAlignment="1" applyProtection="1">
      <protection locked="0"/>
    </xf>
    <xf numFmtId="0" fontId="3" fillId="0" borderId="2" xfId="0" applyFont="1" applyBorder="1" applyAlignment="1" applyProtection="1">
      <alignment horizontal="left" vertical="center" shrinkToFit="1"/>
      <protection locked="0"/>
    </xf>
    <xf numFmtId="0" fontId="6" fillId="0" borderId="2" xfId="0" applyFont="1" applyBorder="1" applyAlignment="1" applyProtection="1">
      <alignment horizontal="left" vertical="center" shrinkToFit="1"/>
      <protection locked="0"/>
    </xf>
    <xf numFmtId="0" fontId="11" fillId="0" borderId="0" xfId="0" applyFont="1" applyAlignment="1">
      <alignment horizontal="center" vertical="center" shrinkToFit="1"/>
    </xf>
    <xf numFmtId="0" fontId="13" fillId="0" borderId="0" xfId="0" applyFont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0" fillId="0" borderId="0" xfId="0" applyBorder="1" applyAlignment="1"/>
    <xf numFmtId="176" fontId="9" fillId="0" borderId="1" xfId="0" applyNumberFormat="1" applyFont="1" applyBorder="1" applyAlignment="1">
      <alignment horizontal="center" vertical="center" shrinkToFit="1"/>
    </xf>
    <xf numFmtId="176" fontId="9" fillId="0" borderId="1" xfId="0" applyNumberFormat="1" applyFont="1" applyBorder="1" applyAlignment="1" applyProtection="1">
      <alignment horizontal="center" vertical="center" shrinkToFit="1"/>
      <protection locked="0"/>
    </xf>
    <xf numFmtId="0" fontId="0" fillId="0" borderId="1" xfId="0" applyBorder="1" applyAlignment="1" applyProtection="1">
      <protection locked="0"/>
    </xf>
    <xf numFmtId="49" fontId="3" fillId="0" borderId="2" xfId="1" applyNumberFormat="1" applyFont="1" applyBorder="1" applyAlignment="1" applyProtection="1">
      <alignment horizontal="left" vertical="center" shrinkToFit="1"/>
      <protection locked="0"/>
    </xf>
    <xf numFmtId="0" fontId="15" fillId="0" borderId="59" xfId="0" applyFont="1" applyBorder="1" applyAlignment="1">
      <alignment horizontal="center"/>
    </xf>
    <xf numFmtId="0" fontId="0" fillId="0" borderId="20" xfId="0" applyBorder="1" applyAlignment="1"/>
    <xf numFmtId="0" fontId="14" fillId="0" borderId="67" xfId="0" applyFont="1" applyBorder="1" applyAlignment="1">
      <alignment horizontal="center" vertical="top"/>
    </xf>
    <xf numFmtId="0" fontId="3" fillId="0" borderId="0" xfId="0" applyFont="1" applyAlignment="1">
      <alignment vertical="center"/>
    </xf>
    <xf numFmtId="0" fontId="0" fillId="0" borderId="28" xfId="0" applyBorder="1" applyAlignment="1"/>
    <xf numFmtId="0" fontId="0" fillId="0" borderId="19" xfId="0" applyBorder="1" applyAlignment="1"/>
    <xf numFmtId="0" fontId="0" fillId="0" borderId="30" xfId="0" applyBorder="1" applyAlignment="1"/>
    <xf numFmtId="0" fontId="15" fillId="0" borderId="2" xfId="0" applyFont="1" applyBorder="1" applyAlignment="1">
      <alignment horizontal="center" vertical="center"/>
    </xf>
    <xf numFmtId="0" fontId="14" fillId="0" borderId="68" xfId="0" applyFont="1" applyBorder="1" applyAlignment="1">
      <alignment horizontal="left" vertical="center" wrapText="1"/>
    </xf>
    <xf numFmtId="0" fontId="0" fillId="0" borderId="29" xfId="0" applyBorder="1" applyAlignment="1"/>
    <xf numFmtId="0" fontId="16" fillId="0" borderId="72" xfId="0" applyFont="1" applyBorder="1" applyAlignment="1">
      <alignment horizontal="left" vertical="center" shrinkToFit="1"/>
    </xf>
    <xf numFmtId="0" fontId="0" fillId="0" borderId="21" xfId="0" applyBorder="1" applyAlignment="1"/>
    <xf numFmtId="0" fontId="0" fillId="0" borderId="31" xfId="0" applyBorder="1" applyAlignment="1"/>
    <xf numFmtId="0" fontId="14" fillId="0" borderId="35" xfId="0" applyFont="1" applyBorder="1" applyAlignment="1">
      <alignment horizontal="left" vertical="center" wrapText="1"/>
    </xf>
    <xf numFmtId="0" fontId="16" fillId="0" borderId="71" xfId="0" applyFont="1" applyBorder="1" applyAlignment="1">
      <alignment horizontal="center" vertical="center"/>
    </xf>
    <xf numFmtId="0" fontId="0" fillId="0" borderId="26" xfId="0" applyBorder="1" applyAlignment="1"/>
    <xf numFmtId="0" fontId="15" fillId="0" borderId="70" xfId="0" applyFont="1" applyBorder="1" applyAlignment="1">
      <alignment horizontal="center" vertical="center"/>
    </xf>
    <xf numFmtId="0" fontId="0" fillId="0" borderId="27" xfId="0" applyBorder="1" applyAlignment="1"/>
    <xf numFmtId="0" fontId="14" fillId="0" borderId="69" xfId="0" applyFont="1" applyBorder="1" applyAlignment="1">
      <alignment horizontal="center" vertical="center" wrapText="1"/>
    </xf>
    <xf numFmtId="49" fontId="23" fillId="0" borderId="19" xfId="2" quotePrefix="1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protection locked="0"/>
    </xf>
    <xf numFmtId="0" fontId="0" fillId="0" borderId="19" xfId="0" applyBorder="1" applyAlignment="1" applyProtection="1">
      <protection locked="0"/>
    </xf>
    <xf numFmtId="0" fontId="19" fillId="0" borderId="2" xfId="2" applyBorder="1" applyAlignment="1">
      <alignment horizontal="center" vertical="center"/>
    </xf>
    <xf numFmtId="0" fontId="0" fillId="0" borderId="14" xfId="0" applyBorder="1" applyAlignment="1"/>
    <xf numFmtId="0" fontId="19" fillId="0" borderId="0" xfId="2" applyAlignment="1">
      <alignment horizontal="center" vertical="center"/>
    </xf>
    <xf numFmtId="0" fontId="19" fillId="0" borderId="0" xfId="2" applyAlignment="1">
      <alignment vertical="center"/>
    </xf>
    <xf numFmtId="0" fontId="19" fillId="0" borderId="56" xfId="2" applyBorder="1" applyAlignment="1">
      <alignment horizontal="center" vertical="center"/>
    </xf>
    <xf numFmtId="0" fontId="0" fillId="0" borderId="77" xfId="0" applyBorder="1" applyAlignment="1"/>
    <xf numFmtId="0" fontId="19" fillId="0" borderId="2" xfId="2" applyBorder="1" applyAlignment="1">
      <alignment vertical="center"/>
    </xf>
    <xf numFmtId="0" fontId="0" fillId="0" borderId="36" xfId="0" applyBorder="1" applyAlignment="1"/>
    <xf numFmtId="0" fontId="20" fillId="0" borderId="73" xfId="2" applyFont="1" applyBorder="1" applyAlignment="1">
      <alignment horizontal="center" vertical="center" wrapText="1"/>
    </xf>
    <xf numFmtId="0" fontId="0" fillId="0" borderId="33" xfId="0" applyBorder="1" applyAlignment="1"/>
    <xf numFmtId="0" fontId="0" fillId="0" borderId="34" xfId="0" applyBorder="1" applyAlignment="1"/>
    <xf numFmtId="0" fontId="0" fillId="0" borderId="41" xfId="0" applyBorder="1" applyAlignment="1"/>
    <xf numFmtId="0" fontId="0" fillId="0" borderId="42" xfId="0" applyBorder="1" applyAlignment="1"/>
    <xf numFmtId="0" fontId="0" fillId="0" borderId="45" xfId="0" applyBorder="1" applyAlignment="1"/>
    <xf numFmtId="0" fontId="0" fillId="0" borderId="46" xfId="0" applyBorder="1" applyAlignment="1"/>
    <xf numFmtId="0" fontId="0" fillId="0" borderId="47" xfId="0" applyBorder="1" applyAlignment="1"/>
    <xf numFmtId="0" fontId="19" fillId="0" borderId="55" xfId="2" applyBorder="1" applyAlignment="1">
      <alignment horizontal="center" vertical="center"/>
    </xf>
    <xf numFmtId="0" fontId="0" fillId="0" borderId="76" xfId="0" applyBorder="1" applyAlignment="1"/>
    <xf numFmtId="0" fontId="19" fillId="0" borderId="35" xfId="2" applyBorder="1" applyAlignment="1">
      <alignment horizontal="center" vertical="center"/>
    </xf>
    <xf numFmtId="0" fontId="19" fillId="2" borderId="78" xfId="2" applyFill="1" applyBorder="1" applyAlignment="1" applyProtection="1">
      <alignment horizontal="left" vertical="center" wrapText="1"/>
      <protection locked="0"/>
    </xf>
    <xf numFmtId="0" fontId="0" fillId="0" borderId="15" xfId="0" applyBorder="1" applyAlignment="1" applyProtection="1">
      <protection locked="0"/>
    </xf>
    <xf numFmtId="0" fontId="0" fillId="0" borderId="18" xfId="0" applyBorder="1" applyAlignment="1" applyProtection="1">
      <protection locked="0"/>
    </xf>
    <xf numFmtId="0" fontId="0" fillId="0" borderId="79" xfId="0" applyBorder="1" applyAlignment="1" applyProtection="1">
      <protection locked="0"/>
    </xf>
    <xf numFmtId="0" fontId="0" fillId="0" borderId="80" xfId="0" applyBorder="1" applyAlignment="1" applyProtection="1">
      <protection locked="0"/>
    </xf>
    <xf numFmtId="0" fontId="0" fillId="0" borderId="61" xfId="0" applyBorder="1" applyAlignment="1" applyProtection="1">
      <protection locked="0"/>
    </xf>
    <xf numFmtId="0" fontId="19" fillId="3" borderId="2" xfId="2" applyFill="1" applyBorder="1" applyAlignment="1">
      <alignment horizontal="center" vertical="center"/>
    </xf>
    <xf numFmtId="0" fontId="19" fillId="0" borderId="62" xfId="2" applyBorder="1" applyAlignment="1">
      <alignment horizontal="center" vertical="center"/>
    </xf>
    <xf numFmtId="0" fontId="29" fillId="2" borderId="0" xfId="2" applyFont="1" applyFill="1" applyAlignment="1">
      <alignment horizontal="center" vertical="center"/>
    </xf>
    <xf numFmtId="0" fontId="32" fillId="2" borderId="2" xfId="2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protection locked="0"/>
    </xf>
    <xf numFmtId="0" fontId="0" fillId="0" borderId="23" xfId="0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19" fillId="0" borderId="57" xfId="2" applyBorder="1" applyAlignment="1">
      <alignment horizontal="center" vertical="center"/>
    </xf>
    <xf numFmtId="0" fontId="0" fillId="0" borderId="81" xfId="0" applyBorder="1" applyAlignment="1"/>
    <xf numFmtId="0" fontId="22" fillId="0" borderId="20" xfId="2" applyFont="1" applyBorder="1" applyAlignment="1" applyProtection="1">
      <alignment horizontal="center" vertical="center"/>
      <protection locked="0"/>
    </xf>
    <xf numFmtId="0" fontId="28" fillId="0" borderId="0" xfId="2" applyFont="1" applyAlignment="1" applyProtection="1">
      <alignment horizontal="center"/>
      <protection locked="0"/>
    </xf>
    <xf numFmtId="0" fontId="26" fillId="0" borderId="1" xfId="2" applyFont="1" applyBorder="1" applyAlignment="1">
      <alignment horizontal="center" vertical="center"/>
    </xf>
    <xf numFmtId="0" fontId="19" fillId="2" borderId="2" xfId="2" applyFill="1" applyBorder="1" applyAlignment="1" applyProtection="1">
      <alignment horizontal="center" vertical="center"/>
      <protection locked="0"/>
    </xf>
    <xf numFmtId="177" fontId="22" fillId="0" borderId="19" xfId="2" applyNumberFormat="1" applyFont="1" applyBorder="1" applyAlignment="1" applyProtection="1">
      <alignment horizontal="center" vertical="center"/>
      <protection locked="0"/>
    </xf>
    <xf numFmtId="0" fontId="23" fillId="0" borderId="73" xfId="2" applyFont="1" applyBorder="1" applyAlignment="1">
      <alignment horizontal="center" vertical="center"/>
    </xf>
    <xf numFmtId="177" fontId="19" fillId="0" borderId="0" xfId="2" applyNumberFormat="1" applyAlignment="1">
      <alignment horizontal="center"/>
    </xf>
    <xf numFmtId="0" fontId="27" fillId="2" borderId="82" xfId="2" applyFont="1" applyFill="1" applyBorder="1" applyAlignment="1">
      <alignment horizontal="center" vertical="center"/>
    </xf>
    <xf numFmtId="0" fontId="22" fillId="0" borderId="59" xfId="2" applyFont="1" applyBorder="1" applyAlignment="1" applyProtection="1">
      <alignment horizontal="center" vertical="center"/>
      <protection locked="0"/>
    </xf>
    <xf numFmtId="0" fontId="22" fillId="0" borderId="24" xfId="2" applyFont="1" applyBorder="1" applyAlignment="1" applyProtection="1">
      <alignment horizontal="center" vertical="center"/>
      <protection locked="0"/>
    </xf>
    <xf numFmtId="177" fontId="22" fillId="0" borderId="23" xfId="2" applyNumberFormat="1" applyFont="1" applyBorder="1" applyAlignment="1" applyProtection="1">
      <alignment horizontal="center" vertical="center"/>
      <protection locked="0"/>
    </xf>
    <xf numFmtId="0" fontId="19" fillId="0" borderId="58" xfId="2" applyBorder="1" applyAlignment="1" applyProtection="1">
      <alignment horizontal="center" vertical="center"/>
      <protection locked="0"/>
    </xf>
    <xf numFmtId="0" fontId="0" fillId="0" borderId="74" xfId="0" applyBorder="1" applyAlignment="1" applyProtection="1">
      <protection locked="0"/>
    </xf>
    <xf numFmtId="0" fontId="0" fillId="0" borderId="75" xfId="0" applyBorder="1" applyAlignment="1" applyProtection="1">
      <protection locked="0"/>
    </xf>
    <xf numFmtId="0" fontId="3" fillId="0" borderId="4" xfId="0" applyFont="1" applyBorder="1" applyAlignment="1">
      <alignment horizontal="center" vertical="center" shrinkToFit="1"/>
    </xf>
    <xf numFmtId="0" fontId="0" fillId="0" borderId="7" xfId="0" applyBorder="1" applyAlignment="1"/>
    <xf numFmtId="0" fontId="0" fillId="0" borderId="22" xfId="0" applyBorder="1" applyAlignment="1"/>
    <xf numFmtId="0" fontId="6" fillId="0" borderId="3" xfId="0" applyFont="1" applyBorder="1" applyAlignment="1">
      <alignment horizontal="left" vertical="center" shrinkToFit="1"/>
    </xf>
    <xf numFmtId="0" fontId="0" fillId="0" borderId="63" xfId="0" applyBorder="1" applyAlignment="1"/>
    <xf numFmtId="178" fontId="9" fillId="0" borderId="1" xfId="0" applyNumberFormat="1" applyFont="1" applyBorder="1" applyAlignment="1">
      <alignment horizontal="center" vertical="center" shrinkToFit="1"/>
    </xf>
    <xf numFmtId="0" fontId="3" fillId="0" borderId="13" xfId="0" applyFont="1" applyBorder="1" applyAlignment="1">
      <alignment horizontal="center" vertical="center" shrinkToFit="1"/>
    </xf>
    <xf numFmtId="0" fontId="3" fillId="0" borderId="14" xfId="0" applyFont="1" applyBorder="1" applyAlignment="1">
      <alignment horizontal="center" vertical="center" shrinkToFit="1"/>
    </xf>
    <xf numFmtId="0" fontId="8" fillId="0" borderId="4" xfId="0" applyFont="1" applyBorder="1" applyAlignment="1">
      <alignment horizontal="center" vertical="center" shrinkToFit="1"/>
    </xf>
    <xf numFmtId="0" fontId="3" fillId="0" borderId="4" xfId="1" applyNumberFormat="1" applyFont="1" applyBorder="1" applyAlignment="1">
      <alignment horizontal="left" vertical="center" shrinkToFit="1"/>
    </xf>
    <xf numFmtId="0" fontId="3" fillId="0" borderId="10" xfId="0" applyFont="1" applyBorder="1" applyAlignment="1">
      <alignment horizontal="left" vertical="center" shrinkToFit="1"/>
    </xf>
    <xf numFmtId="0" fontId="0" fillId="0" borderId="10" xfId="0" applyBorder="1" applyAlignment="1"/>
    <xf numFmtId="0" fontId="3" fillId="0" borderId="5" xfId="0" applyFont="1" applyBorder="1" applyAlignment="1">
      <alignment horizontal="center" vertical="center" shrinkToFit="1"/>
    </xf>
    <xf numFmtId="0" fontId="0" fillId="0" borderId="8" xfId="0" applyBorder="1" applyAlignment="1"/>
    <xf numFmtId="0" fontId="0" fillId="0" borderId="25" xfId="0" applyBorder="1" applyAlignment="1"/>
    <xf numFmtId="0" fontId="3" fillId="0" borderId="66" xfId="0" applyFont="1" applyBorder="1" applyAlignment="1">
      <alignment horizontal="left" vertical="center" shrinkToFit="1"/>
    </xf>
    <xf numFmtId="0" fontId="0" fillId="0" borderId="16" xfId="0" applyBorder="1" applyAlignment="1"/>
    <xf numFmtId="0" fontId="0" fillId="0" borderId="9" xfId="0" applyBorder="1" applyAlignment="1"/>
    <xf numFmtId="0" fontId="0" fillId="0" borderId="12" xfId="0" applyBorder="1" applyAlignment="1"/>
    <xf numFmtId="0" fontId="8" fillId="0" borderId="13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left" vertical="center" shrinkToFit="1"/>
    </xf>
    <xf numFmtId="0" fontId="8" fillId="0" borderId="65" xfId="0" applyFont="1" applyBorder="1" applyAlignment="1">
      <alignment horizontal="center" vertical="center" shrinkToFit="1"/>
    </xf>
    <xf numFmtId="0" fontId="0" fillId="0" borderId="11" xfId="0" applyBorder="1" applyAlignment="1"/>
    <xf numFmtId="0" fontId="8" fillId="0" borderId="64" xfId="0" applyFont="1" applyBorder="1" applyAlignment="1">
      <alignment horizontal="center" vertical="center" shrinkToFit="1"/>
    </xf>
    <xf numFmtId="176" fontId="0" fillId="0" borderId="1" xfId="0" applyNumberFormat="1" applyBorder="1" applyAlignment="1" applyProtection="1">
      <protection locked="0"/>
    </xf>
  </cellXfs>
  <cellStyles count="5">
    <cellStyle name="ハイパーリンク 2" xfId="3" xr:uid="{00000000-0005-0000-0000-000003000000}"/>
    <cellStyle name="桁区切り" xfId="1" builtinId="6"/>
    <cellStyle name="標準" xfId="0" builtinId="0"/>
    <cellStyle name="標準 2" xfId="4" xr:uid="{00000000-0005-0000-0000-000004000000}"/>
    <cellStyle name="標準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117099</xdr:colOff>
      <xdr:row>11</xdr:row>
      <xdr:rowOff>43699</xdr:rowOff>
    </xdr:from>
    <xdr:to>
      <xdr:col>57</xdr:col>
      <xdr:colOff>122383</xdr:colOff>
      <xdr:row>21</xdr:row>
      <xdr:rowOff>42899</xdr:rowOff>
    </xdr:to>
    <xdr:grpSp>
      <xdr:nvGrpSpPr>
        <xdr:cNvPr id="3" name="グループ化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226237" y="1383768"/>
          <a:ext cx="2173043" cy="1253872"/>
          <a:chOff x="10144126" y="2333625"/>
          <a:chExt cx="2190750" cy="1257299"/>
        </a:xfrm>
      </xdr:grpSpPr>
      <xdr:pic>
        <xdr:nvPicPr>
          <xdr:cNvPr id="6" name="図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144126" y="2333625"/>
            <a:ext cx="2190750" cy="341406"/>
          </a:xfrm>
          <a:prstGeom prst="rect">
            <a:avLst/>
          </a:prstGeom>
          <a:ln>
            <a:prstDash val="solid"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5</xdr:row>
          <xdr:rowOff>19050</xdr:rowOff>
        </xdr:from>
        <xdr:to>
          <xdr:col>57</xdr:col>
          <xdr:colOff>57150</xdr:colOff>
          <xdr:row>10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小口ラベル作成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1</xdr:row>
      <xdr:rowOff>28577</xdr:rowOff>
    </xdr:from>
    <xdr:to>
      <xdr:col>1</xdr:col>
      <xdr:colOff>457698</xdr:colOff>
      <xdr:row>3</xdr:row>
      <xdr:rowOff>104775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431" t="53392" r="51092" b="21475"/>
        <a:stretch>
          <a:fillRect/>
        </a:stretch>
      </xdr:blipFill>
      <xdr:spPr>
        <a:xfrm>
          <a:off x="114300" y="123827"/>
          <a:ext cx="905373" cy="400048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0</xdr:col>
      <xdr:colOff>114300</xdr:colOff>
      <xdr:row>19</xdr:row>
      <xdr:rowOff>9527</xdr:rowOff>
    </xdr:from>
    <xdr:ext cx="905373" cy="400048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431" t="53392" r="51092" b="21475"/>
        <a:stretch>
          <a:fillRect/>
        </a:stretch>
      </xdr:blipFill>
      <xdr:spPr>
        <a:xfrm>
          <a:off x="114300" y="3257552"/>
          <a:ext cx="905373" cy="400048"/>
        </a:xfrm>
        <a:prstGeom prst="rect">
          <a:avLst/>
        </a:prstGeom>
        <a:ln>
          <a:prstDash val="solid"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38100</xdr:rowOff>
        </xdr:from>
        <xdr:to>
          <xdr:col>13</xdr:col>
          <xdr:colOff>371475</xdr:colOff>
          <xdr:row>17</xdr:row>
          <xdr:rowOff>28575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伝票とラベル 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228600</xdr:colOff>
          <xdr:row>3</xdr:row>
          <xdr:rowOff>85725</xdr:rowOff>
        </xdr:from>
        <xdr:to>
          <xdr:col>54</xdr:col>
          <xdr:colOff>123825</xdr:colOff>
          <xdr:row>5</xdr:row>
          <xdr:rowOff>114300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2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ライン選択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228600</xdr:colOff>
          <xdr:row>6</xdr:row>
          <xdr:rowOff>28575</xdr:rowOff>
        </xdr:from>
        <xdr:to>
          <xdr:col>52</xdr:col>
          <xdr:colOff>28575</xdr:colOff>
          <xdr:row>7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104775</xdr:colOff>
          <xdr:row>6</xdr:row>
          <xdr:rowOff>28575</xdr:rowOff>
        </xdr:from>
        <xdr:to>
          <xdr:col>54</xdr:col>
          <xdr:colOff>123825</xdr:colOff>
          <xdr:row>7</xdr:row>
          <xdr:rowOff>152400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2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219075</xdr:colOff>
          <xdr:row>20</xdr:row>
          <xdr:rowOff>104775</xdr:rowOff>
        </xdr:from>
        <xdr:to>
          <xdr:col>54</xdr:col>
          <xdr:colOff>57150</xdr:colOff>
          <xdr:row>22</xdr:row>
          <xdr:rowOff>142875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2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代替品製作依頼＆印刷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28575</xdr:colOff>
          <xdr:row>23</xdr:row>
          <xdr:rowOff>9525</xdr:rowOff>
        </xdr:from>
        <xdr:to>
          <xdr:col>54</xdr:col>
          <xdr:colOff>133350</xdr:colOff>
          <xdr:row>26</xdr:row>
          <xdr:rowOff>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2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指示書印刷のみ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161925</xdr:colOff>
          <xdr:row>8</xdr:row>
          <xdr:rowOff>171450</xdr:rowOff>
        </xdr:from>
        <xdr:to>
          <xdr:col>52</xdr:col>
          <xdr:colOff>9525</xdr:colOff>
          <xdr:row>11</xdr:row>
          <xdr:rowOff>133350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2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増尾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133350</xdr:colOff>
          <xdr:row>8</xdr:row>
          <xdr:rowOff>161925</xdr:rowOff>
        </xdr:from>
        <xdr:to>
          <xdr:col>54</xdr:col>
          <xdr:colOff>161925</xdr:colOff>
          <xdr:row>11</xdr:row>
          <xdr:rowOff>133350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2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高崎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171450</xdr:colOff>
          <xdr:row>12</xdr:row>
          <xdr:rowOff>114300</xdr:rowOff>
        </xdr:from>
        <xdr:to>
          <xdr:col>52</xdr:col>
          <xdr:colOff>9525</xdr:colOff>
          <xdr:row>14</xdr:row>
          <xdr:rowOff>95250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2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規格品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114300</xdr:colOff>
          <xdr:row>12</xdr:row>
          <xdr:rowOff>114300</xdr:rowOff>
        </xdr:from>
        <xdr:to>
          <xdr:col>54</xdr:col>
          <xdr:colOff>161925</xdr:colOff>
          <xdr:row>14</xdr:row>
          <xdr:rowOff>85725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2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特注品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190500</xdr:colOff>
          <xdr:row>23</xdr:row>
          <xdr:rowOff>19050</xdr:rowOff>
        </xdr:from>
        <xdr:to>
          <xdr:col>49</xdr:col>
          <xdr:colOff>171450</xdr:colOff>
          <xdr:row>26</xdr:row>
          <xdr:rowOff>19050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2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作番製作の場合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209550</xdr:colOff>
          <xdr:row>9</xdr:row>
          <xdr:rowOff>0</xdr:rowOff>
        </xdr:from>
        <xdr:to>
          <xdr:col>49</xdr:col>
          <xdr:colOff>57150</xdr:colOff>
          <xdr:row>11</xdr:row>
          <xdr:rowOff>142875</xdr:rowOff>
        </xdr:to>
        <xdr:sp macro="" textlink="">
          <xdr:nvSpPr>
            <xdr:cNvPr id="12307" name="Button 19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2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蓮池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L81"/>
  <sheetViews>
    <sheetView tabSelected="1" zoomScale="145" zoomScaleNormal="145" workbookViewId="0">
      <selection activeCell="AH3" sqref="AH3:AQ3"/>
    </sheetView>
  </sheetViews>
  <sheetFormatPr defaultRowHeight="15.75" x14ac:dyDescent="0.4"/>
  <cols>
    <col min="1" max="5" width="1.875" style="66" customWidth="1"/>
    <col min="6" max="13" width="1.75" style="66" customWidth="1"/>
    <col min="14" max="18" width="1.875" style="66" customWidth="1"/>
    <col min="19" max="28" width="1.75" style="66" customWidth="1"/>
    <col min="29" max="43" width="1.875" style="66" customWidth="1"/>
    <col min="44" max="50" width="1.75" style="66" customWidth="1"/>
    <col min="51" max="63" width="2.625" style="66" customWidth="1"/>
    <col min="64" max="66" width="9" style="66" customWidth="1"/>
    <col min="67" max="16384" width="9" style="66"/>
  </cols>
  <sheetData>
    <row r="1" spans="1:64" ht="7.5" customHeight="1" x14ac:dyDescent="0.4">
      <c r="Q1" s="96" t="s">
        <v>0</v>
      </c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H1" s="49"/>
      <c r="AI1" s="49"/>
      <c r="AJ1" s="50" t="s">
        <v>1</v>
      </c>
      <c r="AK1" s="85"/>
      <c r="AL1" s="83"/>
      <c r="AM1" s="83"/>
      <c r="AN1" s="83"/>
      <c r="AO1" s="83"/>
      <c r="AP1" s="83"/>
      <c r="AQ1" s="49"/>
      <c r="AR1" s="53"/>
    </row>
    <row r="2" spans="1:64" ht="7.5" customHeight="1" x14ac:dyDescent="0.4">
      <c r="A2" s="79" t="s">
        <v>2</v>
      </c>
      <c r="B2" s="80"/>
      <c r="C2" s="80"/>
      <c r="D2" s="80"/>
      <c r="E2" s="81"/>
      <c r="F2" s="90" t="s">
        <v>3</v>
      </c>
      <c r="G2" s="81"/>
      <c r="H2" s="90" t="s">
        <v>4</v>
      </c>
      <c r="I2" s="81"/>
      <c r="J2" s="51"/>
      <c r="L2" s="52"/>
      <c r="M2" s="52"/>
      <c r="N2" s="52"/>
      <c r="O2" s="52"/>
      <c r="P2" s="52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82"/>
      <c r="B3" s="83"/>
      <c r="C3" s="83"/>
      <c r="D3" s="83"/>
      <c r="E3" s="84"/>
      <c r="F3" s="82"/>
      <c r="G3" s="84"/>
      <c r="H3" s="82"/>
      <c r="I3" s="84"/>
      <c r="J3" s="51"/>
      <c r="K3" s="52"/>
      <c r="L3" s="52"/>
      <c r="M3" s="52"/>
      <c r="N3" s="52"/>
      <c r="O3" s="52"/>
      <c r="P3" s="52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52"/>
      <c r="AD3" s="52"/>
      <c r="AE3" s="52"/>
      <c r="AF3" s="52"/>
      <c r="AG3" s="52"/>
      <c r="AH3" s="101" t="s">
        <v>5</v>
      </c>
      <c r="AI3" s="198"/>
      <c r="AJ3" s="198"/>
      <c r="AK3" s="198"/>
      <c r="AL3" s="198"/>
      <c r="AM3" s="198"/>
      <c r="AN3" s="198"/>
      <c r="AO3" s="198"/>
      <c r="AP3" s="198"/>
      <c r="AQ3" s="198"/>
      <c r="AR3" s="53"/>
    </row>
    <row r="4" spans="1:64" ht="9" customHeight="1" x14ac:dyDescent="0.4">
      <c r="A4" s="79" t="s">
        <v>6</v>
      </c>
      <c r="B4" s="80"/>
      <c r="C4" s="80"/>
      <c r="D4" s="80"/>
      <c r="E4" s="81"/>
      <c r="F4" s="90" t="s">
        <v>7</v>
      </c>
      <c r="G4" s="81"/>
      <c r="H4" s="90" t="s">
        <v>8</v>
      </c>
      <c r="I4" s="81"/>
      <c r="J4" s="90">
        <v>6</v>
      </c>
      <c r="K4" s="81"/>
      <c r="L4" s="90">
        <v>5</v>
      </c>
      <c r="M4" s="81"/>
      <c r="N4" s="79" t="s">
        <v>9</v>
      </c>
      <c r="O4" s="80"/>
      <c r="P4" s="80"/>
      <c r="Q4" s="80"/>
      <c r="R4" s="81"/>
      <c r="S4" s="90" t="s">
        <v>10</v>
      </c>
      <c r="T4" s="81"/>
      <c r="U4" s="90" t="s">
        <v>11</v>
      </c>
      <c r="V4" s="81"/>
      <c r="W4" s="90">
        <v>1</v>
      </c>
      <c r="X4" s="81"/>
      <c r="Y4" s="90">
        <v>4</v>
      </c>
      <c r="Z4" s="81"/>
      <c r="AB4" s="97" t="s">
        <v>12</v>
      </c>
      <c r="AC4" s="88"/>
      <c r="AD4" s="88"/>
      <c r="AE4" s="88"/>
      <c r="AF4" s="88"/>
      <c r="AG4" s="88"/>
      <c r="AK4" s="91" t="s">
        <v>13</v>
      </c>
      <c r="AL4" s="80"/>
      <c r="AM4" s="91" t="str">
        <f>IF(AB6="(東北CS対応分)","10:00","15:30")</f>
        <v>15:30</v>
      </c>
      <c r="AN4" s="80"/>
      <c r="AO4" s="80"/>
      <c r="AP4" s="80"/>
      <c r="AQ4" s="80"/>
    </row>
    <row r="5" spans="1:64" ht="9" customHeight="1" x14ac:dyDescent="0.4">
      <c r="A5" s="82"/>
      <c r="B5" s="83"/>
      <c r="C5" s="83"/>
      <c r="D5" s="83"/>
      <c r="E5" s="84"/>
      <c r="F5" s="82"/>
      <c r="G5" s="84"/>
      <c r="H5" s="82"/>
      <c r="I5" s="84"/>
      <c r="J5" s="82"/>
      <c r="K5" s="84"/>
      <c r="L5" s="82"/>
      <c r="M5" s="84"/>
      <c r="N5" s="82"/>
      <c r="O5" s="83"/>
      <c r="P5" s="83"/>
      <c r="Q5" s="83"/>
      <c r="R5" s="84"/>
      <c r="S5" s="82"/>
      <c r="T5" s="84"/>
      <c r="U5" s="82"/>
      <c r="V5" s="84"/>
      <c r="W5" s="82"/>
      <c r="X5" s="84"/>
      <c r="Y5" s="82"/>
      <c r="Z5" s="84"/>
      <c r="AB5" s="88"/>
      <c r="AC5" s="88"/>
      <c r="AD5" s="88"/>
      <c r="AE5" s="88"/>
      <c r="AF5" s="88"/>
      <c r="AG5" s="88"/>
      <c r="AH5" s="54"/>
      <c r="AI5" s="54"/>
      <c r="AJ5" s="54"/>
      <c r="AK5" s="88"/>
      <c r="AL5" s="88"/>
      <c r="AM5" s="88"/>
      <c r="AN5" s="88"/>
      <c r="AO5" s="88"/>
      <c r="AP5" s="88"/>
      <c r="AQ5" s="88"/>
    </row>
    <row r="6" spans="1:64" ht="12.75" customHeight="1" x14ac:dyDescent="0.4">
      <c r="AB6" s="98" t="str">
        <f>IF(AM9="AX60","(東北CS対応分)",IF(AM9="AX44","","(関東CS対応分)"))</f>
        <v>(関東CS対応分)</v>
      </c>
      <c r="AC6" s="99"/>
      <c r="AD6" s="99"/>
      <c r="AE6" s="99"/>
      <c r="AF6" s="99"/>
      <c r="AG6" s="99"/>
      <c r="AH6" s="99"/>
      <c r="AI6" s="99"/>
      <c r="AJ6" s="99"/>
      <c r="AK6" s="75"/>
      <c r="AL6" s="75"/>
      <c r="AM6" s="75"/>
      <c r="AN6" s="75"/>
      <c r="BL6" s="73">
        <f ca="1">TODAY()</f>
        <v>45624</v>
      </c>
    </row>
    <row r="7" spans="1:64" ht="9.75" customHeight="1" x14ac:dyDescent="0.4">
      <c r="A7" s="76" t="s">
        <v>14</v>
      </c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6" t="s">
        <v>15</v>
      </c>
      <c r="T7" s="77"/>
      <c r="U7" s="77"/>
      <c r="V7" s="77"/>
      <c r="W7" s="76" t="s">
        <v>16</v>
      </c>
      <c r="X7" s="77"/>
      <c r="Y7" s="77"/>
      <c r="Z7" s="77"/>
      <c r="AA7" s="77"/>
      <c r="AB7" s="77"/>
      <c r="AC7" s="76" t="s">
        <v>17</v>
      </c>
      <c r="AD7" s="77"/>
      <c r="AE7" s="77"/>
      <c r="AF7" s="77"/>
      <c r="AG7" s="77"/>
      <c r="AH7" s="77"/>
      <c r="AI7" s="77"/>
      <c r="AJ7" s="77"/>
      <c r="AK7" s="77"/>
      <c r="AL7" s="77"/>
      <c r="AM7" s="77"/>
      <c r="AN7" s="77"/>
      <c r="AO7" s="77"/>
      <c r="AP7" s="77"/>
      <c r="AQ7" s="77"/>
      <c r="BL7" s="73">
        <f t="shared" ref="BL7:BL17" ca="1" si="0">BL6+DAY(1)</f>
        <v>45625</v>
      </c>
    </row>
    <row r="8" spans="1:64" ht="9.75" customHeight="1" x14ac:dyDescent="0.4">
      <c r="A8" s="77"/>
      <c r="B8" s="77"/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77"/>
      <c r="BL8" s="73">
        <f t="shared" ca="1" si="0"/>
        <v>45626</v>
      </c>
    </row>
    <row r="9" spans="1:64" ht="9.75" customHeight="1" x14ac:dyDescent="0.4">
      <c r="A9" s="95" t="s">
        <v>18</v>
      </c>
      <c r="B9" s="93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2"/>
      <c r="T9" s="93"/>
      <c r="U9" s="93"/>
      <c r="V9" s="93"/>
      <c r="W9" s="92"/>
      <c r="X9" s="93"/>
      <c r="Y9" s="93"/>
      <c r="Z9" s="93"/>
      <c r="AA9" s="93"/>
      <c r="AB9" s="93"/>
      <c r="AC9" s="103"/>
      <c r="AD9" s="93"/>
      <c r="AE9" s="93"/>
      <c r="AF9" s="93"/>
      <c r="AG9" s="93"/>
      <c r="AH9" s="93"/>
      <c r="AI9" s="93"/>
      <c r="AJ9" s="93"/>
      <c r="AK9" s="93"/>
      <c r="AL9" s="93"/>
      <c r="AM9" s="92"/>
      <c r="AN9" s="93"/>
      <c r="AO9" s="93"/>
      <c r="AP9" s="93"/>
      <c r="AQ9" s="93"/>
      <c r="BL9" s="73">
        <f t="shared" ca="1" si="0"/>
        <v>45627</v>
      </c>
    </row>
    <row r="10" spans="1:64" ht="9.75" customHeight="1" x14ac:dyDescent="0.4">
      <c r="A10" s="93"/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BL10" s="73">
        <f t="shared" ca="1" si="0"/>
        <v>45628</v>
      </c>
    </row>
    <row r="11" spans="1:64" ht="9.75" customHeight="1" x14ac:dyDescent="0.4">
      <c r="A11" s="94"/>
      <c r="B11" s="93"/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2"/>
      <c r="T11" s="93"/>
      <c r="U11" s="93"/>
      <c r="V11" s="93"/>
      <c r="W11" s="92"/>
      <c r="X11" s="93"/>
      <c r="Y11" s="93"/>
      <c r="Z11" s="93"/>
      <c r="AA11" s="93"/>
      <c r="AB11" s="93"/>
      <c r="AC11" s="94"/>
      <c r="AD11" s="93"/>
      <c r="AE11" s="93"/>
      <c r="AF11" s="93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BL11" s="73">
        <f t="shared" ca="1" si="0"/>
        <v>45629</v>
      </c>
    </row>
    <row r="12" spans="1:64" ht="9.75" customHeight="1" x14ac:dyDescent="0.4">
      <c r="A12" s="93"/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3"/>
      <c r="AF12" s="93"/>
      <c r="AG12" s="93"/>
      <c r="AH12" s="93"/>
      <c r="AI12" s="93"/>
      <c r="AJ12" s="93"/>
      <c r="AK12" s="93"/>
      <c r="AL12" s="93"/>
      <c r="AM12" s="93"/>
      <c r="AN12" s="93"/>
      <c r="AO12" s="93"/>
      <c r="AP12" s="93"/>
      <c r="AQ12" s="93"/>
      <c r="BL12" s="73">
        <f t="shared" ca="1" si="0"/>
        <v>45630</v>
      </c>
    </row>
    <row r="13" spans="1:64" ht="9.75" customHeight="1" x14ac:dyDescent="0.4">
      <c r="A13" s="95"/>
      <c r="B13" s="93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2"/>
      <c r="T13" s="93"/>
      <c r="U13" s="93"/>
      <c r="V13" s="93"/>
      <c r="W13" s="92"/>
      <c r="X13" s="93"/>
      <c r="Y13" s="93"/>
      <c r="Z13" s="93"/>
      <c r="AA13" s="93"/>
      <c r="AB13" s="93"/>
      <c r="AC13" s="94" t="s">
        <v>21</v>
      </c>
      <c r="AD13" s="93"/>
      <c r="AE13" s="93"/>
      <c r="AF13" s="93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BL13" s="73">
        <f t="shared" ca="1" si="0"/>
        <v>45631</v>
      </c>
    </row>
    <row r="14" spans="1:64" ht="9.75" customHeight="1" x14ac:dyDescent="0.4">
      <c r="A14" s="93"/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F14" s="93"/>
      <c r="AG14" s="93"/>
      <c r="AH14" s="93"/>
      <c r="AI14" s="93"/>
      <c r="AJ14" s="93"/>
      <c r="AK14" s="93"/>
      <c r="AL14" s="93"/>
      <c r="AM14" s="93"/>
      <c r="AN14" s="93"/>
      <c r="AO14" s="93"/>
      <c r="AP14" s="93"/>
      <c r="AQ14" s="93"/>
      <c r="BL14" s="73">
        <f t="shared" ca="1" si="0"/>
        <v>45632</v>
      </c>
    </row>
    <row r="15" spans="1:64" ht="9.75" customHeight="1" x14ac:dyDescent="0.4">
      <c r="A15" s="94"/>
      <c r="B15" s="93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2"/>
      <c r="T15" s="93"/>
      <c r="U15" s="93"/>
      <c r="V15" s="93"/>
      <c r="W15" s="92"/>
      <c r="X15" s="93"/>
      <c r="Y15" s="93"/>
      <c r="Z15" s="93"/>
      <c r="AA15" s="93"/>
      <c r="AB15" s="93"/>
      <c r="AC15" s="94"/>
      <c r="AD15" s="93"/>
      <c r="AE15" s="93"/>
      <c r="AF15" s="93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3"/>
      <c r="BL15" s="73">
        <f t="shared" ca="1" si="0"/>
        <v>45633</v>
      </c>
    </row>
    <row r="16" spans="1:64" ht="9.75" customHeight="1" x14ac:dyDescent="0.4">
      <c r="A16" s="93"/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F16" s="93"/>
      <c r="AG16" s="93"/>
      <c r="AH16" s="93"/>
      <c r="AI16" s="93"/>
      <c r="AJ16" s="93"/>
      <c r="AK16" s="93"/>
      <c r="AL16" s="93"/>
      <c r="AM16" s="93"/>
      <c r="AN16" s="93"/>
      <c r="AO16" s="93"/>
      <c r="AP16" s="93"/>
      <c r="AQ16" s="93"/>
      <c r="BL16" s="73">
        <f t="shared" ca="1" si="0"/>
        <v>45634</v>
      </c>
    </row>
    <row r="17" spans="1:64" ht="9.75" customHeight="1" x14ac:dyDescent="0.4">
      <c r="A17" s="95"/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2"/>
      <c r="T17" s="93"/>
      <c r="U17" s="93"/>
      <c r="V17" s="93"/>
      <c r="W17" s="92"/>
      <c r="X17" s="93"/>
      <c r="Y17" s="93"/>
      <c r="Z17" s="93"/>
      <c r="AA17" s="93"/>
      <c r="AB17" s="93"/>
      <c r="AC17" s="94" t="s">
        <v>157</v>
      </c>
      <c r="AD17" s="93"/>
      <c r="AE17" s="93"/>
      <c r="AF17" s="93"/>
      <c r="AG17" s="93"/>
      <c r="AH17" s="93"/>
      <c r="AI17" s="93"/>
      <c r="AJ17" s="93"/>
      <c r="AK17" s="93"/>
      <c r="AL17" s="93"/>
      <c r="AM17" s="93"/>
      <c r="AN17" s="93"/>
      <c r="AO17" s="93"/>
      <c r="AP17" s="93"/>
      <c r="AQ17" s="93"/>
      <c r="BL17" s="73">
        <f t="shared" ca="1" si="0"/>
        <v>45635</v>
      </c>
    </row>
    <row r="18" spans="1:64" ht="9.75" customHeight="1" x14ac:dyDescent="0.4">
      <c r="A18" s="93"/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3"/>
      <c r="AF18" s="93"/>
      <c r="AG18" s="93"/>
      <c r="AH18" s="93"/>
      <c r="AI18" s="93"/>
      <c r="AJ18" s="93"/>
      <c r="AK18" s="93"/>
      <c r="AL18" s="93"/>
      <c r="AM18" s="93"/>
      <c r="AN18" s="93"/>
      <c r="AO18" s="93"/>
      <c r="AP18" s="93"/>
      <c r="AQ18" s="93"/>
    </row>
    <row r="19" spans="1:64" ht="9.75" customHeight="1" x14ac:dyDescent="0.4">
      <c r="A19" s="94"/>
      <c r="B19" s="93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2"/>
      <c r="T19" s="93"/>
      <c r="U19" s="93"/>
      <c r="V19" s="93"/>
      <c r="W19" s="92"/>
      <c r="X19" s="93"/>
      <c r="Y19" s="93"/>
      <c r="Z19" s="93"/>
      <c r="AA19" s="93"/>
      <c r="AB19" s="93"/>
      <c r="AC19" s="94"/>
      <c r="AD19" s="93"/>
      <c r="AE19" s="93"/>
      <c r="AF19" s="93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</row>
    <row r="20" spans="1:64" ht="9.75" customHeight="1" x14ac:dyDescent="0.4">
      <c r="A20" s="93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  <c r="AA20" s="93"/>
      <c r="AB20" s="93"/>
      <c r="AC20" s="93"/>
      <c r="AD20" s="93"/>
      <c r="AE20" s="93"/>
      <c r="AF20" s="93"/>
      <c r="AG20" s="93"/>
      <c r="AH20" s="93"/>
      <c r="AI20" s="93"/>
      <c r="AJ20" s="93"/>
      <c r="AK20" s="93"/>
      <c r="AL20" s="93"/>
      <c r="AM20" s="93"/>
      <c r="AN20" s="93"/>
      <c r="AO20" s="93"/>
      <c r="AP20" s="93"/>
      <c r="AQ20" s="93"/>
    </row>
    <row r="21" spans="1:64" ht="10.5" customHeight="1" x14ac:dyDescent="0.4">
      <c r="A21" s="67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25.5" customHeight="1" thickBot="1" x14ac:dyDescent="0.4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64" ht="15.75" customHeight="1" x14ac:dyDescent="0.4"/>
    <row r="24" spans="1:64" ht="15.75" customHeight="1" x14ac:dyDescent="0.4"/>
    <row r="25" spans="1:64" ht="15.75" customHeight="1" x14ac:dyDescent="0.4"/>
    <row r="26" spans="1:64" ht="12.75" customHeight="1" x14ac:dyDescent="0.4">
      <c r="Q26" s="96" t="s">
        <v>23</v>
      </c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H26" s="49"/>
      <c r="AI26" s="49"/>
      <c r="AJ26" s="50" t="s">
        <v>1</v>
      </c>
      <c r="AK26" s="85" t="str">
        <f>IF($AK$1="","",$AK$1)</f>
        <v/>
      </c>
      <c r="AL26" s="83"/>
      <c r="AM26" s="83"/>
      <c r="AN26" s="83"/>
      <c r="AO26" s="83"/>
      <c r="AP26" s="83"/>
      <c r="AQ26" s="49"/>
    </row>
    <row r="27" spans="1:64" ht="7.5" customHeight="1" x14ac:dyDescent="0.4">
      <c r="A27" s="79" t="s">
        <v>2</v>
      </c>
      <c r="B27" s="80"/>
      <c r="C27" s="80"/>
      <c r="D27" s="80"/>
      <c r="E27" s="81"/>
      <c r="F27" s="90" t="s">
        <v>3</v>
      </c>
      <c r="G27" s="81"/>
      <c r="H27" s="90" t="s">
        <v>4</v>
      </c>
      <c r="I27" s="81"/>
      <c r="J27" s="51"/>
      <c r="L27" s="52"/>
      <c r="M27" s="52"/>
      <c r="N27" s="52"/>
      <c r="O27" s="52"/>
      <c r="P27" s="52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52"/>
      <c r="AD27" s="52"/>
      <c r="AE27" s="52"/>
      <c r="AF27" s="52"/>
      <c r="AG27" s="52"/>
      <c r="AH27" s="53"/>
      <c r="AI27" s="53"/>
      <c r="AJ27" s="53"/>
      <c r="AK27" s="53"/>
      <c r="AL27" s="53"/>
      <c r="AM27" s="53"/>
      <c r="AN27" s="53"/>
      <c r="AO27" s="53"/>
      <c r="AP27" s="53"/>
      <c r="AQ27" s="53"/>
    </row>
    <row r="28" spans="1:64" ht="10.5" customHeight="1" x14ac:dyDescent="0.4">
      <c r="A28" s="82"/>
      <c r="B28" s="83"/>
      <c r="C28" s="83"/>
      <c r="D28" s="83"/>
      <c r="E28" s="84"/>
      <c r="F28" s="82"/>
      <c r="G28" s="84"/>
      <c r="H28" s="82"/>
      <c r="I28" s="84"/>
      <c r="J28" s="51"/>
      <c r="K28" s="52"/>
      <c r="L28" s="52"/>
      <c r="M28" s="52"/>
      <c r="N28" s="52"/>
      <c r="O28" s="52"/>
      <c r="P28" s="52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52"/>
      <c r="AD28" s="52"/>
      <c r="AE28" s="52"/>
      <c r="AF28" s="52"/>
      <c r="AG28" s="52"/>
      <c r="AH28" s="100" t="str">
        <f>IF($AH$3="","",$AH$3)</f>
        <v>2024年11月18日</v>
      </c>
      <c r="AI28" s="83"/>
      <c r="AJ28" s="83"/>
      <c r="AK28" s="83"/>
      <c r="AL28" s="83"/>
      <c r="AM28" s="83"/>
      <c r="AN28" s="83"/>
      <c r="AO28" s="83"/>
      <c r="AP28" s="83"/>
      <c r="AQ28" s="83"/>
    </row>
    <row r="29" spans="1:64" ht="9" customHeight="1" x14ac:dyDescent="0.4">
      <c r="A29" s="79" t="s">
        <v>6</v>
      </c>
      <c r="B29" s="80"/>
      <c r="C29" s="80"/>
      <c r="D29" s="80"/>
      <c r="E29" s="81"/>
      <c r="F29" s="90" t="s">
        <v>7</v>
      </c>
      <c r="G29" s="81"/>
      <c r="H29" s="90" t="s">
        <v>8</v>
      </c>
      <c r="I29" s="81"/>
      <c r="J29" s="90">
        <v>6</v>
      </c>
      <c r="K29" s="81"/>
      <c r="L29" s="90">
        <v>5</v>
      </c>
      <c r="M29" s="81"/>
      <c r="N29" s="79" t="s">
        <v>9</v>
      </c>
      <c r="O29" s="80"/>
      <c r="P29" s="80"/>
      <c r="Q29" s="80"/>
      <c r="R29" s="81"/>
      <c r="S29" s="90" t="s">
        <v>10</v>
      </c>
      <c r="T29" s="81"/>
      <c r="U29" s="90" t="s">
        <v>11</v>
      </c>
      <c r="V29" s="81"/>
      <c r="W29" s="90">
        <v>1</v>
      </c>
      <c r="X29" s="81"/>
      <c r="Y29" s="90">
        <v>4</v>
      </c>
      <c r="Z29" s="81"/>
      <c r="AB29" s="87" t="str">
        <f>IF($AB$4="","",$AB$4)</f>
        <v>1梱包</v>
      </c>
      <c r="AC29" s="88"/>
      <c r="AD29" s="88"/>
      <c r="AE29" s="88"/>
      <c r="AF29" s="88"/>
      <c r="AG29" s="88"/>
      <c r="AK29" s="91" t="str">
        <f>IF($AK$4="","",$AK$4)</f>
        <v>北</v>
      </c>
      <c r="AL29" s="80"/>
      <c r="AM29" s="91" t="str">
        <f>IF($AM$4="","",$AM$4)</f>
        <v>15:30</v>
      </c>
      <c r="AN29" s="80"/>
      <c r="AO29" s="80"/>
      <c r="AP29" s="80"/>
      <c r="AQ29" s="80"/>
    </row>
    <row r="30" spans="1:64" ht="9" customHeight="1" x14ac:dyDescent="0.4">
      <c r="A30" s="82"/>
      <c r="B30" s="83"/>
      <c r="C30" s="83"/>
      <c r="D30" s="83"/>
      <c r="E30" s="84"/>
      <c r="F30" s="82"/>
      <c r="G30" s="84"/>
      <c r="H30" s="82"/>
      <c r="I30" s="84"/>
      <c r="J30" s="82"/>
      <c r="K30" s="84"/>
      <c r="L30" s="82"/>
      <c r="M30" s="84"/>
      <c r="N30" s="82"/>
      <c r="O30" s="83"/>
      <c r="P30" s="83"/>
      <c r="Q30" s="83"/>
      <c r="R30" s="84"/>
      <c r="S30" s="82"/>
      <c r="T30" s="84"/>
      <c r="U30" s="82"/>
      <c r="V30" s="84"/>
      <c r="W30" s="82"/>
      <c r="X30" s="84"/>
      <c r="Y30" s="82"/>
      <c r="Z30" s="84"/>
      <c r="AB30" s="88"/>
      <c r="AC30" s="88"/>
      <c r="AD30" s="88"/>
      <c r="AE30" s="88"/>
      <c r="AF30" s="88"/>
      <c r="AG30" s="88"/>
      <c r="AH30" s="54"/>
      <c r="AI30" s="54"/>
      <c r="AJ30" s="54"/>
      <c r="AK30" s="88"/>
      <c r="AL30" s="88"/>
      <c r="AM30" s="88"/>
      <c r="AN30" s="88"/>
      <c r="AO30" s="88"/>
      <c r="AP30" s="88"/>
      <c r="AQ30" s="88"/>
    </row>
    <row r="31" spans="1:64" ht="12.75" customHeight="1" x14ac:dyDescent="0.4">
      <c r="AB31" s="98" t="str">
        <f>IF($AB$6="","",$AB$6)</f>
        <v>(関東CS対応分)</v>
      </c>
      <c r="AC31" s="99"/>
      <c r="AD31" s="99"/>
      <c r="AE31" s="99"/>
      <c r="AF31" s="99"/>
      <c r="AG31" s="99"/>
      <c r="AH31" s="99"/>
      <c r="AI31" s="99"/>
      <c r="AJ31" s="99"/>
      <c r="AK31" s="75"/>
      <c r="AL31" s="75"/>
      <c r="AM31" s="75"/>
      <c r="AN31" s="75"/>
    </row>
    <row r="32" spans="1:64" ht="11.25" customHeight="1" x14ac:dyDescent="0.4">
      <c r="A32" s="76" t="s">
        <v>14</v>
      </c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6" t="s">
        <v>15</v>
      </c>
      <c r="T32" s="77"/>
      <c r="U32" s="77"/>
      <c r="V32" s="77"/>
      <c r="W32" s="76" t="s">
        <v>16</v>
      </c>
      <c r="X32" s="77"/>
      <c r="Y32" s="77"/>
      <c r="Z32" s="77"/>
      <c r="AA32" s="77"/>
      <c r="AB32" s="77"/>
      <c r="AC32" s="76" t="s">
        <v>17</v>
      </c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</row>
    <row r="33" spans="1:43" ht="11.25" customHeight="1" x14ac:dyDescent="0.4">
      <c r="A33" s="77"/>
      <c r="B33" s="77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7"/>
      <c r="AM33" s="77"/>
      <c r="AN33" s="77"/>
      <c r="AO33" s="77"/>
      <c r="AP33" s="77"/>
      <c r="AQ33" s="77"/>
    </row>
    <row r="34" spans="1:43" ht="11.25" customHeight="1" x14ac:dyDescent="0.4">
      <c r="A34" s="89" t="str">
        <f>IF($A$9="","",$A$9)</f>
        <v>代替品</v>
      </c>
      <c r="B34" s="77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8" t="str">
        <f>IF(S9="","",S9)</f>
        <v/>
      </c>
      <c r="T34" s="77"/>
      <c r="U34" s="77"/>
      <c r="V34" s="77"/>
      <c r="W34" s="78" t="str">
        <f>IF(W9="","",W9)</f>
        <v/>
      </c>
      <c r="X34" s="77"/>
      <c r="Y34" s="77"/>
      <c r="Z34" s="77"/>
      <c r="AA34" s="77"/>
      <c r="AB34" s="77"/>
      <c r="AC34" s="86" t="str">
        <f>IF($AC$9="","",$AC$9)</f>
        <v/>
      </c>
      <c r="AD34" s="77"/>
      <c r="AE34" s="77"/>
      <c r="AF34" s="77"/>
      <c r="AG34" s="77"/>
      <c r="AH34" s="77"/>
      <c r="AI34" s="77"/>
      <c r="AJ34" s="77"/>
      <c r="AK34" s="77"/>
      <c r="AL34" s="77"/>
      <c r="AM34" s="78" t="str">
        <f>IF($AM$9="","",$AM$9)</f>
        <v/>
      </c>
      <c r="AN34" s="77"/>
      <c r="AO34" s="77"/>
      <c r="AP34" s="77"/>
      <c r="AQ34" s="77"/>
    </row>
    <row r="35" spans="1:43" ht="11.25" customHeight="1" x14ac:dyDescent="0.4">
      <c r="A35" s="77"/>
      <c r="B35" s="77"/>
      <c r="C35" s="77"/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  <c r="AI35" s="77"/>
      <c r="AJ35" s="77"/>
      <c r="AK35" s="77"/>
      <c r="AL35" s="77"/>
      <c r="AM35" s="77"/>
      <c r="AN35" s="77"/>
      <c r="AO35" s="77"/>
      <c r="AP35" s="77"/>
      <c r="AQ35" s="77"/>
    </row>
    <row r="36" spans="1:43" ht="11.25" customHeight="1" x14ac:dyDescent="0.4">
      <c r="A36" s="76" t="str">
        <f>IF($A$11="","",MID($A$11,1,1))</f>
        <v/>
      </c>
      <c r="B36" s="76" t="str">
        <f>IF($A$11="","",MID($A$11,2,1))</f>
        <v/>
      </c>
      <c r="C36" s="76" t="str">
        <f>IF($A$11="","",MID($A$11,3,1))</f>
        <v/>
      </c>
      <c r="D36" s="76" t="str">
        <f>IF($A$11="","",MID($A$11,4,1))</f>
        <v/>
      </c>
      <c r="E36" s="76" t="str">
        <f>IF($A$11="","",MID($A$11,5,1))</f>
        <v/>
      </c>
      <c r="F36" s="76" t="str">
        <f>IF($A$11="","",MID($A$11,6,1))</f>
        <v/>
      </c>
      <c r="G36" s="76" t="str">
        <f>IF($A$11="","",MID($A$11,7,1))</f>
        <v/>
      </c>
      <c r="H36" s="76" t="str">
        <f>IF($A$11="","",MID($A$11,8,1))</f>
        <v/>
      </c>
      <c r="I36" s="76" t="str">
        <f>IF($A$11="","",MID($A$11,9,1))</f>
        <v/>
      </c>
      <c r="J36" s="76" t="str">
        <f>IF($A$11="","",MID($A$11,10,1))</f>
        <v/>
      </c>
      <c r="K36" s="76" t="str">
        <f>IF($A$11="","",MID($A$11,11,1))</f>
        <v/>
      </c>
      <c r="L36" s="76" t="str">
        <f>IF($A$11="","",MID($A$11,12,1))</f>
        <v/>
      </c>
      <c r="M36" s="76" t="str">
        <f>IF($A$11="","",MID($A$11,13,1))</f>
        <v/>
      </c>
      <c r="N36" s="76" t="str">
        <f>IF($A$11="","",MID($A$11,14,1))</f>
        <v/>
      </c>
      <c r="O36" s="76" t="str">
        <f>IF($A$11="","",MID($A$11,15,1))</f>
        <v/>
      </c>
      <c r="P36" s="76" t="str">
        <f>IF($A$11="","",MID($A$11,16,1))</f>
        <v/>
      </c>
      <c r="Q36" s="76" t="str">
        <f>IF($A$11="","",MID($A$11,17,1))</f>
        <v/>
      </c>
      <c r="R36" s="76" t="str">
        <f>IF($A$11="","",MID($A$11,18,1))</f>
        <v/>
      </c>
      <c r="S36" s="78" t="str">
        <f>IF(S11="","",S11)</f>
        <v/>
      </c>
      <c r="T36" s="77"/>
      <c r="U36" s="77"/>
      <c r="V36" s="77"/>
      <c r="W36" s="78" t="str">
        <f>IF(W11="","",W11)</f>
        <v/>
      </c>
      <c r="X36" s="77"/>
      <c r="Y36" s="77"/>
      <c r="Z36" s="77"/>
      <c r="AA36" s="77"/>
      <c r="AB36" s="77"/>
      <c r="AC36" s="86" t="str">
        <f>IF(AC11="","",AC11)</f>
        <v/>
      </c>
      <c r="AD36" s="77"/>
      <c r="AE36" s="77"/>
      <c r="AF36" s="77"/>
      <c r="AG36" s="77"/>
      <c r="AH36" s="77"/>
      <c r="AI36" s="77"/>
      <c r="AJ36" s="77"/>
      <c r="AK36" s="77"/>
      <c r="AL36" s="77"/>
      <c r="AM36" s="77"/>
      <c r="AN36" s="77"/>
      <c r="AO36" s="77"/>
      <c r="AP36" s="77"/>
      <c r="AQ36" s="77"/>
    </row>
    <row r="37" spans="1:43" ht="11.25" customHeight="1" x14ac:dyDescent="0.4">
      <c r="A37" s="77"/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  <c r="AI37" s="77"/>
      <c r="AJ37" s="77"/>
      <c r="AK37" s="77"/>
      <c r="AL37" s="77"/>
      <c r="AM37" s="77"/>
      <c r="AN37" s="77"/>
      <c r="AO37" s="77"/>
      <c r="AP37" s="77"/>
      <c r="AQ37" s="77"/>
    </row>
    <row r="38" spans="1:43" ht="11.25" customHeight="1" x14ac:dyDescent="0.4">
      <c r="A38" s="89" t="str">
        <f>IF($A$13="","",$A$13)</f>
        <v/>
      </c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8"/>
      <c r="T38" s="77"/>
      <c r="U38" s="77"/>
      <c r="V38" s="77"/>
      <c r="W38" s="78"/>
      <c r="X38" s="77"/>
      <c r="Y38" s="77"/>
      <c r="Z38" s="77"/>
      <c r="AA38" s="77"/>
      <c r="AB38" s="77"/>
      <c r="AC38" s="86" t="str">
        <f>IF(AC13="","",AC13)</f>
        <v>届け先：</v>
      </c>
      <c r="AD38" s="77"/>
      <c r="AE38" s="77"/>
      <c r="AF38" s="77"/>
      <c r="AG38" s="77"/>
      <c r="AH38" s="77"/>
      <c r="AI38" s="77"/>
      <c r="AJ38" s="77"/>
      <c r="AK38" s="77"/>
      <c r="AL38" s="77"/>
      <c r="AM38" s="77"/>
      <c r="AN38" s="77"/>
      <c r="AO38" s="77"/>
      <c r="AP38" s="77"/>
      <c r="AQ38" s="77"/>
    </row>
    <row r="39" spans="1:43" ht="11.25" customHeight="1" x14ac:dyDescent="0.4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  <c r="AI39" s="77"/>
      <c r="AJ39" s="77"/>
      <c r="AK39" s="77"/>
      <c r="AL39" s="77"/>
      <c r="AM39" s="77"/>
      <c r="AN39" s="77"/>
      <c r="AO39" s="77"/>
      <c r="AP39" s="77"/>
      <c r="AQ39" s="77"/>
    </row>
    <row r="40" spans="1:43" ht="11.25" customHeight="1" x14ac:dyDescent="0.4">
      <c r="A40" s="76" t="str">
        <f>IF($A$15="","",MID($A$15,1,1))</f>
        <v/>
      </c>
      <c r="B40" s="76" t="str">
        <f>IF($A$15="","",MID($A$15,2,1))</f>
        <v/>
      </c>
      <c r="C40" s="76" t="str">
        <f>IF($A$15="","",MID($A$15,3,1))</f>
        <v/>
      </c>
      <c r="D40" s="76" t="str">
        <f>IF($A$15="","",MID($A$15,4,1))</f>
        <v/>
      </c>
      <c r="E40" s="76" t="str">
        <f>IF($A$15="","",MID($A$15,5,1))</f>
        <v/>
      </c>
      <c r="F40" s="76" t="str">
        <f>IF($A$15="","",MID($A$15,6,1))</f>
        <v/>
      </c>
      <c r="G40" s="76" t="str">
        <f>IF($A$15="","",MID($A$15,7,1))</f>
        <v/>
      </c>
      <c r="H40" s="76" t="str">
        <f>IF($A$15="","",MID($A$15,8,1))</f>
        <v/>
      </c>
      <c r="I40" s="76" t="str">
        <f>IF($A$15="","",MID($A$15,9,1))</f>
        <v/>
      </c>
      <c r="J40" s="76" t="str">
        <f>IF($A$15="","",MID($A$15,10,1))</f>
        <v/>
      </c>
      <c r="K40" s="76" t="str">
        <f>IF($A$15="","",MID($A$15,11,1))</f>
        <v/>
      </c>
      <c r="L40" s="76" t="str">
        <f>IF($A$15="","",MID($A$15,12,1))</f>
        <v/>
      </c>
      <c r="M40" s="76" t="str">
        <f>IF($A$15="","",MID($A$15,13,1))</f>
        <v/>
      </c>
      <c r="N40" s="76" t="str">
        <f>IF($A$15="","",MID($A$15,14,1))</f>
        <v/>
      </c>
      <c r="O40" s="76" t="str">
        <f>IF($A$15="","",MID($A$15,15,1))</f>
        <v/>
      </c>
      <c r="P40" s="76" t="str">
        <f>IF($A$15="","",MID($A$15,16,1))</f>
        <v/>
      </c>
      <c r="Q40" s="76" t="str">
        <f>IF($A$15="","",MID($A$15,17,1))</f>
        <v/>
      </c>
      <c r="R40" s="76" t="str">
        <f>IF($A$15="","",MID($A$15,18,1))</f>
        <v/>
      </c>
      <c r="S40" s="78"/>
      <c r="T40" s="77"/>
      <c r="U40" s="77"/>
      <c r="V40" s="77"/>
      <c r="W40" s="78"/>
      <c r="X40" s="77"/>
      <c r="Y40" s="77"/>
      <c r="Z40" s="77"/>
      <c r="AA40" s="77"/>
      <c r="AB40" s="77"/>
      <c r="AC40" s="86" t="str">
        <f>IF(AC15="","",AC15)</f>
        <v/>
      </c>
      <c r="AD40" s="77"/>
      <c r="AE40" s="77"/>
      <c r="AF40" s="77"/>
      <c r="AG40" s="77"/>
      <c r="AH40" s="77"/>
      <c r="AI40" s="77"/>
      <c r="AJ40" s="77"/>
      <c r="AK40" s="77"/>
      <c r="AL40" s="77"/>
      <c r="AM40" s="77"/>
      <c r="AN40" s="77"/>
      <c r="AO40" s="77"/>
      <c r="AP40" s="77"/>
      <c r="AQ40" s="77"/>
    </row>
    <row r="41" spans="1:43" ht="11.25" customHeight="1" x14ac:dyDescent="0.4">
      <c r="A41" s="77"/>
      <c r="B41" s="77"/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  <c r="AO41" s="77"/>
      <c r="AP41" s="77"/>
      <c r="AQ41" s="77"/>
    </row>
    <row r="42" spans="1:43" ht="11.25" customHeight="1" x14ac:dyDescent="0.4">
      <c r="A42" s="89" t="str">
        <f>IF($A$17="","",$A$17)</f>
        <v/>
      </c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8"/>
      <c r="T42" s="77"/>
      <c r="U42" s="77"/>
      <c r="V42" s="77"/>
      <c r="W42" s="78"/>
      <c r="X42" s="77"/>
      <c r="Y42" s="77"/>
      <c r="Z42" s="77"/>
      <c r="AA42" s="77"/>
      <c r="AB42" s="77"/>
      <c r="AC42" s="86" t="str">
        <f>IF(AC17="","",AC17)</f>
        <v>現場名：</v>
      </c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</row>
    <row r="43" spans="1:43" ht="11.25" customHeight="1" x14ac:dyDescent="0.4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  <c r="AO43" s="77"/>
      <c r="AP43" s="77"/>
      <c r="AQ43" s="77"/>
    </row>
    <row r="44" spans="1:43" ht="11.25" customHeight="1" x14ac:dyDescent="0.4">
      <c r="A44" s="76" t="str">
        <f>IF($A$19="","",MID($A$19,1,1))</f>
        <v/>
      </c>
      <c r="B44" s="76" t="str">
        <f>IF($A$19="","",MID($A$19,2,1))</f>
        <v/>
      </c>
      <c r="C44" s="76" t="str">
        <f>IF($A$19="","",MID($A$19,3,1))</f>
        <v/>
      </c>
      <c r="D44" s="76" t="str">
        <f>IF($A$19="","",MID($A$19,4,1))</f>
        <v/>
      </c>
      <c r="E44" s="76" t="str">
        <f>IF($A$19="","",MID($A$19,5,1))</f>
        <v/>
      </c>
      <c r="F44" s="76" t="str">
        <f>IF($A$19="","",MID($A$19,6,1))</f>
        <v/>
      </c>
      <c r="G44" s="76" t="str">
        <f>IF($A$19="","",MID($A$19,7,1))</f>
        <v/>
      </c>
      <c r="H44" s="76" t="str">
        <f>IF($A$19="","",MID($A$19,8,1))</f>
        <v/>
      </c>
      <c r="I44" s="76" t="str">
        <f>IF($A$19="","",MID($A$19,9,1))</f>
        <v/>
      </c>
      <c r="J44" s="76" t="str">
        <f>IF($A$19="","",MID($A$19,10,1))</f>
        <v/>
      </c>
      <c r="K44" s="76" t="str">
        <f>IF($A$19="","",MID($A$19,11,1))</f>
        <v/>
      </c>
      <c r="L44" s="76" t="str">
        <f>IF($A$19="","",MID($A$19,12,1))</f>
        <v/>
      </c>
      <c r="M44" s="76" t="str">
        <f>IF($A$19="","",MID($A$19,13,1))</f>
        <v/>
      </c>
      <c r="N44" s="76" t="str">
        <f>IF($A$19="","",MID($A$19,14,1))</f>
        <v/>
      </c>
      <c r="O44" s="76" t="str">
        <f>IF($A$19="","",MID($A$19,15,1))</f>
        <v/>
      </c>
      <c r="P44" s="76" t="str">
        <f>IF($A$19="","",MID($A$19,16,1))</f>
        <v/>
      </c>
      <c r="Q44" s="76" t="str">
        <f>IF($A$19="","",MID($A$19,17,1))</f>
        <v/>
      </c>
      <c r="R44" s="76" t="str">
        <f>IF($A$19="","",MID($A$19,18,1))</f>
        <v/>
      </c>
      <c r="S44" s="78"/>
      <c r="T44" s="77"/>
      <c r="U44" s="77"/>
      <c r="V44" s="77"/>
      <c r="W44" s="78"/>
      <c r="X44" s="77"/>
      <c r="Y44" s="77"/>
      <c r="Z44" s="77"/>
      <c r="AA44" s="77"/>
      <c r="AB44" s="77"/>
      <c r="AC44" s="86" t="str">
        <f>IF(AC19="","",AC19)</f>
        <v/>
      </c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  <c r="AO44" s="77"/>
      <c r="AP44" s="77"/>
      <c r="AQ44" s="77"/>
    </row>
    <row r="45" spans="1:43" ht="11.25" customHeight="1" x14ac:dyDescent="0.4">
      <c r="A45" s="77"/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  <c r="AO45" s="77"/>
      <c r="AP45" s="77"/>
      <c r="AQ45" s="77"/>
    </row>
    <row r="46" spans="1:43" ht="13.5" customHeight="1" x14ac:dyDescent="0.4"/>
    <row r="47" spans="1:43" ht="6" customHeight="1" thickBot="1" x14ac:dyDescent="0.45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</row>
    <row r="48" spans="1:43" ht="8.25" customHeight="1" x14ac:dyDescent="0.4"/>
    <row r="49" spans="1:43" ht="12.75" customHeight="1" x14ac:dyDescent="0.4">
      <c r="Q49" s="96" t="s">
        <v>24</v>
      </c>
      <c r="R49" s="88"/>
      <c r="S49" s="88"/>
      <c r="T49" s="88"/>
      <c r="U49" s="88"/>
      <c r="V49" s="88"/>
      <c r="W49" s="88"/>
      <c r="X49" s="88"/>
      <c r="Y49" s="88"/>
      <c r="Z49" s="88"/>
      <c r="AA49" s="88"/>
      <c r="AB49" s="88"/>
      <c r="AH49" s="49"/>
      <c r="AI49" s="49"/>
      <c r="AJ49" s="50" t="s">
        <v>1</v>
      </c>
      <c r="AK49" s="85" t="str">
        <f>IF($AK$1="","",$AK$1)</f>
        <v/>
      </c>
      <c r="AL49" s="83"/>
      <c r="AM49" s="83"/>
      <c r="AN49" s="83"/>
      <c r="AO49" s="83"/>
      <c r="AP49" s="83"/>
      <c r="AQ49" s="49"/>
    </row>
    <row r="50" spans="1:43" ht="7.5" customHeight="1" x14ac:dyDescent="0.4">
      <c r="A50" s="79" t="s">
        <v>2</v>
      </c>
      <c r="B50" s="80"/>
      <c r="C50" s="80"/>
      <c r="D50" s="80"/>
      <c r="E50" s="81"/>
      <c r="F50" s="90" t="s">
        <v>3</v>
      </c>
      <c r="G50" s="81"/>
      <c r="H50" s="90" t="s">
        <v>4</v>
      </c>
      <c r="I50" s="81"/>
      <c r="J50" s="51"/>
      <c r="L50" s="52"/>
      <c r="M50" s="52"/>
      <c r="N50" s="52"/>
      <c r="O50" s="52"/>
      <c r="P50" s="52"/>
      <c r="Q50" s="88"/>
      <c r="R50" s="88"/>
      <c r="S50" s="88"/>
      <c r="T50" s="88"/>
      <c r="U50" s="88"/>
      <c r="V50" s="88"/>
      <c r="W50" s="88"/>
      <c r="X50" s="88"/>
      <c r="Y50" s="88"/>
      <c r="Z50" s="88"/>
      <c r="AA50" s="88"/>
      <c r="AB50" s="88"/>
      <c r="AC50" s="52"/>
      <c r="AD50" s="52"/>
      <c r="AE50" s="52"/>
      <c r="AF50" s="52"/>
      <c r="AG50" s="52"/>
      <c r="AH50" s="53"/>
      <c r="AI50" s="53"/>
      <c r="AJ50" s="53"/>
      <c r="AK50" s="53"/>
      <c r="AL50" s="53"/>
      <c r="AM50" s="53"/>
      <c r="AN50" s="53"/>
      <c r="AO50" s="53"/>
      <c r="AP50" s="53"/>
      <c r="AQ50" s="53"/>
    </row>
    <row r="51" spans="1:43" ht="10.5" customHeight="1" x14ac:dyDescent="0.4">
      <c r="A51" s="82"/>
      <c r="B51" s="83"/>
      <c r="C51" s="83"/>
      <c r="D51" s="83"/>
      <c r="E51" s="84"/>
      <c r="F51" s="82"/>
      <c r="G51" s="84"/>
      <c r="H51" s="82"/>
      <c r="I51" s="84"/>
      <c r="J51" s="51"/>
      <c r="K51" s="52"/>
      <c r="L51" s="52"/>
      <c r="M51" s="52"/>
      <c r="N51" s="52"/>
      <c r="O51" s="52"/>
      <c r="P51" s="52"/>
      <c r="Q51" s="88"/>
      <c r="R51" s="88"/>
      <c r="S51" s="88"/>
      <c r="T51" s="88"/>
      <c r="U51" s="88"/>
      <c r="V51" s="88"/>
      <c r="W51" s="88"/>
      <c r="X51" s="88"/>
      <c r="Y51" s="88"/>
      <c r="Z51" s="88"/>
      <c r="AA51" s="88"/>
      <c r="AB51" s="88"/>
      <c r="AC51" s="52"/>
      <c r="AD51" s="52"/>
      <c r="AE51" s="52"/>
      <c r="AF51" s="52"/>
      <c r="AG51" s="52"/>
      <c r="AH51" s="100" t="str">
        <f>IF($AH$3="","",$AH$3)</f>
        <v>2024年11月18日</v>
      </c>
      <c r="AI51" s="83"/>
      <c r="AJ51" s="83"/>
      <c r="AK51" s="83"/>
      <c r="AL51" s="83"/>
      <c r="AM51" s="83"/>
      <c r="AN51" s="83"/>
      <c r="AO51" s="83"/>
      <c r="AP51" s="83"/>
      <c r="AQ51" s="83"/>
    </row>
    <row r="52" spans="1:43" ht="9" customHeight="1" x14ac:dyDescent="0.4">
      <c r="A52" s="79" t="s">
        <v>6</v>
      </c>
      <c r="B52" s="80"/>
      <c r="C52" s="80"/>
      <c r="D52" s="80"/>
      <c r="E52" s="81"/>
      <c r="F52" s="90" t="s">
        <v>7</v>
      </c>
      <c r="G52" s="81"/>
      <c r="H52" s="90" t="s">
        <v>8</v>
      </c>
      <c r="I52" s="81"/>
      <c r="J52" s="90">
        <v>6</v>
      </c>
      <c r="K52" s="81"/>
      <c r="L52" s="90">
        <v>5</v>
      </c>
      <c r="M52" s="81"/>
      <c r="N52" s="79" t="s">
        <v>9</v>
      </c>
      <c r="O52" s="80"/>
      <c r="P52" s="80"/>
      <c r="Q52" s="80"/>
      <c r="R52" s="81"/>
      <c r="S52" s="90" t="s">
        <v>10</v>
      </c>
      <c r="T52" s="81"/>
      <c r="U52" s="90" t="s">
        <v>11</v>
      </c>
      <c r="V52" s="81"/>
      <c r="W52" s="90">
        <v>1</v>
      </c>
      <c r="X52" s="81"/>
      <c r="Y52" s="90">
        <v>4</v>
      </c>
      <c r="Z52" s="81"/>
      <c r="AB52" s="87" t="str">
        <f>IF($AB$4="","",$AB$4)</f>
        <v>1梱包</v>
      </c>
      <c r="AC52" s="88"/>
      <c r="AD52" s="88"/>
      <c r="AE52" s="88"/>
      <c r="AF52" s="88"/>
      <c r="AG52" s="88"/>
      <c r="AK52" s="91" t="str">
        <f>IF($AK$4="","",$AK$4)</f>
        <v>北</v>
      </c>
      <c r="AL52" s="80"/>
      <c r="AM52" s="91" t="str">
        <f>IF($AM$4="","",$AM$4)</f>
        <v>15:30</v>
      </c>
      <c r="AN52" s="80"/>
      <c r="AO52" s="80"/>
      <c r="AP52" s="80"/>
      <c r="AQ52" s="80"/>
    </row>
    <row r="53" spans="1:43" ht="9" customHeight="1" x14ac:dyDescent="0.4">
      <c r="A53" s="82"/>
      <c r="B53" s="83"/>
      <c r="C53" s="83"/>
      <c r="D53" s="83"/>
      <c r="E53" s="84"/>
      <c r="F53" s="82"/>
      <c r="G53" s="84"/>
      <c r="H53" s="82"/>
      <c r="I53" s="84"/>
      <c r="J53" s="82"/>
      <c r="K53" s="84"/>
      <c r="L53" s="82"/>
      <c r="M53" s="84"/>
      <c r="N53" s="82"/>
      <c r="O53" s="83"/>
      <c r="P53" s="83"/>
      <c r="Q53" s="83"/>
      <c r="R53" s="84"/>
      <c r="S53" s="82"/>
      <c r="T53" s="84"/>
      <c r="U53" s="82"/>
      <c r="V53" s="84"/>
      <c r="W53" s="82"/>
      <c r="X53" s="84"/>
      <c r="Y53" s="82"/>
      <c r="Z53" s="84"/>
      <c r="AB53" s="88"/>
      <c r="AC53" s="88"/>
      <c r="AD53" s="88"/>
      <c r="AE53" s="88"/>
      <c r="AF53" s="88"/>
      <c r="AG53" s="88"/>
      <c r="AH53" s="54"/>
      <c r="AI53" s="54"/>
      <c r="AJ53" s="54"/>
      <c r="AK53" s="88"/>
      <c r="AL53" s="88"/>
      <c r="AM53" s="88"/>
      <c r="AN53" s="88"/>
      <c r="AO53" s="88"/>
      <c r="AP53" s="88"/>
      <c r="AQ53" s="88"/>
    </row>
    <row r="54" spans="1:43" ht="12.75" customHeight="1" x14ac:dyDescent="0.4">
      <c r="AB54" s="98" t="str">
        <f>IF($AB$6="","",$AB$6)</f>
        <v>(関東CS対応分)</v>
      </c>
      <c r="AC54" s="99"/>
      <c r="AD54" s="99"/>
      <c r="AE54" s="99"/>
      <c r="AF54" s="99"/>
      <c r="AG54" s="99"/>
      <c r="AH54" s="99"/>
      <c r="AI54" s="99"/>
      <c r="AJ54" s="99"/>
      <c r="AK54" s="75"/>
      <c r="AL54" s="75"/>
      <c r="AM54" s="75"/>
      <c r="AN54" s="75"/>
    </row>
    <row r="55" spans="1:43" ht="11.25" customHeight="1" x14ac:dyDescent="0.4">
      <c r="A55" s="76" t="s">
        <v>14</v>
      </c>
      <c r="B55" s="77"/>
      <c r="C55" s="77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6" t="s">
        <v>15</v>
      </c>
      <c r="T55" s="77"/>
      <c r="U55" s="77"/>
      <c r="V55" s="77"/>
      <c r="W55" s="76" t="s">
        <v>16</v>
      </c>
      <c r="X55" s="77"/>
      <c r="Y55" s="77"/>
      <c r="Z55" s="77"/>
      <c r="AA55" s="77"/>
      <c r="AB55" s="77"/>
      <c r="AC55" s="76" t="s">
        <v>17</v>
      </c>
      <c r="AD55" s="77"/>
      <c r="AE55" s="77"/>
      <c r="AF55" s="77"/>
      <c r="AG55" s="77"/>
      <c r="AH55" s="77"/>
      <c r="AI55" s="77"/>
      <c r="AJ55" s="77"/>
      <c r="AK55" s="77"/>
      <c r="AL55" s="77"/>
      <c r="AM55" s="77"/>
      <c r="AN55" s="77"/>
      <c r="AO55" s="77"/>
      <c r="AP55" s="77"/>
      <c r="AQ55" s="77"/>
    </row>
    <row r="56" spans="1:43" ht="11.25" customHeight="1" x14ac:dyDescent="0.4">
      <c r="A56" s="77"/>
      <c r="B56" s="77"/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77"/>
      <c r="AM56" s="77"/>
      <c r="AN56" s="77"/>
      <c r="AO56" s="77"/>
      <c r="AP56" s="77"/>
      <c r="AQ56" s="77"/>
    </row>
    <row r="57" spans="1:43" ht="11.25" customHeight="1" x14ac:dyDescent="0.4">
      <c r="A57" s="89" t="str">
        <f>IF($A$9="","",$A$9)</f>
        <v>代替品</v>
      </c>
      <c r="B57" s="77"/>
      <c r="C57" s="77"/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8" t="str">
        <f>IF(S9="","",S9)</f>
        <v/>
      </c>
      <c r="T57" s="77"/>
      <c r="U57" s="77"/>
      <c r="V57" s="77"/>
      <c r="W57" s="78" t="str">
        <f>IF(W9="","",W9)</f>
        <v/>
      </c>
      <c r="X57" s="77"/>
      <c r="Y57" s="77"/>
      <c r="Z57" s="77"/>
      <c r="AA57" s="77"/>
      <c r="AB57" s="77"/>
      <c r="AC57" s="86" t="str">
        <f>IF($AC$9="","",$AC$9)</f>
        <v/>
      </c>
      <c r="AD57" s="77"/>
      <c r="AE57" s="77"/>
      <c r="AF57" s="77"/>
      <c r="AG57" s="77"/>
      <c r="AH57" s="77"/>
      <c r="AI57" s="77"/>
      <c r="AJ57" s="77"/>
      <c r="AK57" s="77"/>
      <c r="AL57" s="77"/>
      <c r="AM57" s="78" t="str">
        <f>IF($AM$9="","",$AM$9)</f>
        <v/>
      </c>
      <c r="AN57" s="77"/>
      <c r="AO57" s="77"/>
      <c r="AP57" s="77"/>
      <c r="AQ57" s="77"/>
    </row>
    <row r="58" spans="1:43" ht="11.25" customHeight="1" x14ac:dyDescent="0.4">
      <c r="A58" s="77"/>
      <c r="B58" s="77"/>
      <c r="C58" s="77"/>
      <c r="D58" s="77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  <c r="AM58" s="77"/>
      <c r="AN58" s="77"/>
      <c r="AO58" s="77"/>
      <c r="AP58" s="77"/>
      <c r="AQ58" s="77"/>
    </row>
    <row r="59" spans="1:43" ht="11.25" customHeight="1" x14ac:dyDescent="0.4">
      <c r="A59" s="76" t="str">
        <f>IF($A$11="","",MID($A$11,1,1))</f>
        <v/>
      </c>
      <c r="B59" s="76" t="str">
        <f>IF($A$11="","",MID($A$11,2,1))</f>
        <v/>
      </c>
      <c r="C59" s="76" t="str">
        <f>IF($A$11="","",MID($A$11,3,1))</f>
        <v/>
      </c>
      <c r="D59" s="76" t="str">
        <f>IF($A$11="","",MID($A$11,4,1))</f>
        <v/>
      </c>
      <c r="E59" s="76" t="str">
        <f>IF($A$11="","",MID($A$11,5,1))</f>
        <v/>
      </c>
      <c r="F59" s="76" t="str">
        <f>IF($A$11="","",MID($A$11,6,1))</f>
        <v/>
      </c>
      <c r="G59" s="76" t="str">
        <f>IF($A$11="","",MID($A$11,7,1))</f>
        <v/>
      </c>
      <c r="H59" s="76" t="str">
        <f>IF($A$11="","",MID($A$11,8,1))</f>
        <v/>
      </c>
      <c r="I59" s="76" t="str">
        <f>IF($A$11="","",MID($A$11,9,1))</f>
        <v/>
      </c>
      <c r="J59" s="76" t="str">
        <f>IF($A$11="","",MID($A$11,10,1))</f>
        <v/>
      </c>
      <c r="K59" s="76" t="str">
        <f>IF($A$11="","",MID($A$11,11,1))</f>
        <v/>
      </c>
      <c r="L59" s="76" t="str">
        <f>IF($A$11="","",MID($A$11,12,1))</f>
        <v/>
      </c>
      <c r="M59" s="76" t="str">
        <f>IF($A$11="","",MID($A$11,13,1))</f>
        <v/>
      </c>
      <c r="N59" s="76" t="str">
        <f>IF($A$11="","",MID($A$11,14,1))</f>
        <v/>
      </c>
      <c r="O59" s="76" t="str">
        <f>IF($A$11="","",MID($A$11,15,1))</f>
        <v/>
      </c>
      <c r="P59" s="76" t="str">
        <f>IF($A$11="","",MID($A$11,16,1))</f>
        <v/>
      </c>
      <c r="Q59" s="76" t="str">
        <f>IF($A$11="","",MID($A$11,17,1))</f>
        <v/>
      </c>
      <c r="R59" s="76" t="str">
        <f>IF($A$11="","",MID($A$11,18,1))</f>
        <v/>
      </c>
      <c r="S59" s="78" t="str">
        <f>IF(S11="","",S11)</f>
        <v/>
      </c>
      <c r="T59" s="77"/>
      <c r="U59" s="77"/>
      <c r="V59" s="77"/>
      <c r="W59" s="78" t="str">
        <f>IF(W11="","",W11)</f>
        <v/>
      </c>
      <c r="X59" s="77"/>
      <c r="Y59" s="77"/>
      <c r="Z59" s="77"/>
      <c r="AA59" s="77"/>
      <c r="AB59" s="77"/>
      <c r="AC59" s="86" t="str">
        <f>IF(AC11="","",AC11)</f>
        <v/>
      </c>
      <c r="AD59" s="77"/>
      <c r="AE59" s="77"/>
      <c r="AF59" s="77"/>
      <c r="AG59" s="77"/>
      <c r="AH59" s="77"/>
      <c r="AI59" s="77"/>
      <c r="AJ59" s="77"/>
      <c r="AK59" s="77"/>
      <c r="AL59" s="77"/>
      <c r="AM59" s="77"/>
      <c r="AN59" s="77"/>
      <c r="AO59" s="77"/>
      <c r="AP59" s="77"/>
      <c r="AQ59" s="77"/>
    </row>
    <row r="60" spans="1:43" ht="11.25" customHeight="1" x14ac:dyDescent="0.4">
      <c r="A60" s="77"/>
      <c r="B60" s="77"/>
      <c r="C60" s="77"/>
      <c r="D60" s="77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77"/>
      <c r="AG60" s="77"/>
      <c r="AH60" s="77"/>
      <c r="AI60" s="77"/>
      <c r="AJ60" s="77"/>
      <c r="AK60" s="77"/>
      <c r="AL60" s="77"/>
      <c r="AM60" s="77"/>
      <c r="AN60" s="77"/>
      <c r="AO60" s="77"/>
      <c r="AP60" s="77"/>
      <c r="AQ60" s="77"/>
    </row>
    <row r="61" spans="1:43" ht="11.25" customHeight="1" x14ac:dyDescent="0.4">
      <c r="A61" s="89" t="str">
        <f>IF($A$13="","",$A$13)</f>
        <v/>
      </c>
      <c r="B61" s="77"/>
      <c r="C61" s="77"/>
      <c r="D61" s="77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8" t="str">
        <f>IF(S13="","",S13)</f>
        <v/>
      </c>
      <c r="T61" s="77"/>
      <c r="U61" s="77"/>
      <c r="V61" s="77"/>
      <c r="W61" s="78" t="str">
        <f>IF(W13="","",W13)</f>
        <v/>
      </c>
      <c r="X61" s="77"/>
      <c r="Y61" s="77"/>
      <c r="Z61" s="77"/>
      <c r="AA61" s="77"/>
      <c r="AB61" s="77"/>
      <c r="AC61" s="86" t="str">
        <f>IF(AC13="","",AC13)</f>
        <v>届け先：</v>
      </c>
      <c r="AD61" s="77"/>
      <c r="AE61" s="77"/>
      <c r="AF61" s="77"/>
      <c r="AG61" s="77"/>
      <c r="AH61" s="77"/>
      <c r="AI61" s="77"/>
      <c r="AJ61" s="77"/>
      <c r="AK61" s="77"/>
      <c r="AL61" s="77"/>
      <c r="AM61" s="77"/>
      <c r="AN61" s="77"/>
      <c r="AO61" s="77"/>
      <c r="AP61" s="77"/>
      <c r="AQ61" s="77"/>
    </row>
    <row r="62" spans="1:43" ht="11.25" customHeight="1" x14ac:dyDescent="0.4">
      <c r="A62" s="77"/>
      <c r="B62" s="77"/>
      <c r="C62" s="77"/>
      <c r="D62" s="77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  <c r="AI62" s="77"/>
      <c r="AJ62" s="77"/>
      <c r="AK62" s="77"/>
      <c r="AL62" s="77"/>
      <c r="AM62" s="77"/>
      <c r="AN62" s="77"/>
      <c r="AO62" s="77"/>
      <c r="AP62" s="77"/>
      <c r="AQ62" s="77"/>
    </row>
    <row r="63" spans="1:43" ht="11.25" customHeight="1" x14ac:dyDescent="0.4">
      <c r="A63" s="76" t="str">
        <f>IF($A$15="","",MID($A$15,1,1))</f>
        <v/>
      </c>
      <c r="B63" s="76" t="str">
        <f>IF($A$15="","",MID($A$15,2,1))</f>
        <v/>
      </c>
      <c r="C63" s="76" t="str">
        <f>IF($A$15="","",MID($A$15,3,1))</f>
        <v/>
      </c>
      <c r="D63" s="76" t="str">
        <f>IF($A$15="","",MID($A$15,4,1))</f>
        <v/>
      </c>
      <c r="E63" s="76" t="str">
        <f>IF($A$15="","",MID($A$15,5,1))</f>
        <v/>
      </c>
      <c r="F63" s="76" t="str">
        <f>IF($A$15="","",MID($A$15,6,1))</f>
        <v/>
      </c>
      <c r="G63" s="76" t="str">
        <f>IF($A$15="","",MID($A$15,7,1))</f>
        <v/>
      </c>
      <c r="H63" s="76" t="str">
        <f>IF($A$15="","",MID($A$15,8,1))</f>
        <v/>
      </c>
      <c r="I63" s="76" t="str">
        <f>IF($A$15="","",MID($A$15,9,1))</f>
        <v/>
      </c>
      <c r="J63" s="76" t="str">
        <f>IF($A$15="","",MID($A$15,10,1))</f>
        <v/>
      </c>
      <c r="K63" s="76" t="str">
        <f>IF($A$15="","",MID($A$15,11,1))</f>
        <v/>
      </c>
      <c r="L63" s="76" t="str">
        <f>IF($A$15="","",MID($A$15,12,1))</f>
        <v/>
      </c>
      <c r="M63" s="76" t="str">
        <f>IF($A$15="","",MID($A$15,13,1))</f>
        <v/>
      </c>
      <c r="N63" s="76" t="str">
        <f>IF($A$15="","",MID($A$15,14,1))</f>
        <v/>
      </c>
      <c r="O63" s="76" t="str">
        <f>IF($A$15="","",MID($A$15,15,1))</f>
        <v/>
      </c>
      <c r="P63" s="76" t="str">
        <f>IF($A$15="","",MID($A$15,16,1))</f>
        <v/>
      </c>
      <c r="Q63" s="76" t="str">
        <f>IF($A$15="","",MID($A$15,17,1))</f>
        <v/>
      </c>
      <c r="R63" s="76" t="str">
        <f>IF($A$15="","",MID($A$15,18,1))</f>
        <v/>
      </c>
      <c r="S63" s="78" t="str">
        <f>IF(S15="","",S15)</f>
        <v/>
      </c>
      <c r="T63" s="77"/>
      <c r="U63" s="77"/>
      <c r="V63" s="77"/>
      <c r="W63" s="78" t="str">
        <f>IF(W15="","",W15)</f>
        <v/>
      </c>
      <c r="X63" s="77"/>
      <c r="Y63" s="77"/>
      <c r="Z63" s="77"/>
      <c r="AA63" s="77"/>
      <c r="AB63" s="77"/>
      <c r="AC63" s="86" t="str">
        <f>IF(AC15="","",AC15)</f>
        <v/>
      </c>
      <c r="AD63" s="77"/>
      <c r="AE63" s="77"/>
      <c r="AF63" s="77"/>
      <c r="AG63" s="77"/>
      <c r="AH63" s="77"/>
      <c r="AI63" s="77"/>
      <c r="AJ63" s="77"/>
      <c r="AK63" s="77"/>
      <c r="AL63" s="77"/>
      <c r="AM63" s="77"/>
      <c r="AN63" s="77"/>
      <c r="AO63" s="77"/>
      <c r="AP63" s="77"/>
      <c r="AQ63" s="77"/>
    </row>
    <row r="64" spans="1:43" ht="11.25" customHeight="1" x14ac:dyDescent="0.4">
      <c r="A64" s="77"/>
      <c r="B64" s="77"/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  <c r="AI64" s="77"/>
      <c r="AJ64" s="77"/>
      <c r="AK64" s="77"/>
      <c r="AL64" s="77"/>
      <c r="AM64" s="77"/>
      <c r="AN64" s="77"/>
      <c r="AO64" s="77"/>
      <c r="AP64" s="77"/>
      <c r="AQ64" s="77"/>
    </row>
    <row r="65" spans="1:43" ht="11.25" customHeight="1" x14ac:dyDescent="0.4">
      <c r="A65" s="89" t="str">
        <f>IF($A$17="","",$A$17)</f>
        <v/>
      </c>
      <c r="B65" s="77"/>
      <c r="C65" s="77"/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8" t="str">
        <f>IF(S17="","",S17)</f>
        <v/>
      </c>
      <c r="T65" s="77"/>
      <c r="U65" s="77"/>
      <c r="V65" s="77"/>
      <c r="W65" s="78" t="str">
        <f>IF(W17="","",W17)</f>
        <v/>
      </c>
      <c r="X65" s="77"/>
      <c r="Y65" s="77"/>
      <c r="Z65" s="77"/>
      <c r="AA65" s="77"/>
      <c r="AB65" s="77"/>
      <c r="AC65" s="86" t="str">
        <f>IF(AC17="","",AC17)</f>
        <v>現場名：</v>
      </c>
      <c r="AD65" s="77"/>
      <c r="AE65" s="77"/>
      <c r="AF65" s="77"/>
      <c r="AG65" s="77"/>
      <c r="AH65" s="77"/>
      <c r="AI65" s="77"/>
      <c r="AJ65" s="77"/>
      <c r="AK65" s="77"/>
      <c r="AL65" s="77"/>
      <c r="AM65" s="77"/>
      <c r="AN65" s="77"/>
      <c r="AO65" s="77"/>
      <c r="AP65" s="77"/>
      <c r="AQ65" s="77"/>
    </row>
    <row r="66" spans="1:43" ht="11.25" customHeight="1" x14ac:dyDescent="0.4">
      <c r="A66" s="77"/>
      <c r="B66" s="77"/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  <c r="AI66" s="77"/>
      <c r="AJ66" s="77"/>
      <c r="AK66" s="77"/>
      <c r="AL66" s="77"/>
      <c r="AM66" s="77"/>
      <c r="AN66" s="77"/>
      <c r="AO66" s="77"/>
      <c r="AP66" s="77"/>
      <c r="AQ66" s="77"/>
    </row>
    <row r="67" spans="1:43" ht="11.25" customHeight="1" x14ac:dyDescent="0.4">
      <c r="A67" s="76" t="str">
        <f>IF($A$19="","",MID($A$19,1,1))</f>
        <v/>
      </c>
      <c r="B67" s="76" t="str">
        <f>IF($A$19="","",MID($A$19,2,1))</f>
        <v/>
      </c>
      <c r="C67" s="76" t="str">
        <f>IF($A$19="","",MID($A$19,3,1))</f>
        <v/>
      </c>
      <c r="D67" s="76" t="str">
        <f>IF($A$19="","",MID($A$19,4,1))</f>
        <v/>
      </c>
      <c r="E67" s="76" t="str">
        <f>IF($A$19="","",MID($A$19,5,1))</f>
        <v/>
      </c>
      <c r="F67" s="76" t="str">
        <f>IF($A$19="","",MID($A$19,6,1))</f>
        <v/>
      </c>
      <c r="G67" s="76" t="str">
        <f>IF($A$19="","",MID($A$19,7,1))</f>
        <v/>
      </c>
      <c r="H67" s="76" t="str">
        <f>IF($A$19="","",MID($A$19,8,1))</f>
        <v/>
      </c>
      <c r="I67" s="76" t="str">
        <f>IF($A$19="","",MID($A$19,9,1))</f>
        <v/>
      </c>
      <c r="J67" s="76" t="str">
        <f>IF($A$19="","",MID($A$19,10,1))</f>
        <v/>
      </c>
      <c r="K67" s="76" t="str">
        <f>IF($A$19="","",MID($A$19,11,1))</f>
        <v/>
      </c>
      <c r="L67" s="76" t="str">
        <f>IF($A$19="","",MID($A$19,12,1))</f>
        <v/>
      </c>
      <c r="M67" s="76" t="str">
        <f>IF($A$19="","",MID($A$19,13,1))</f>
        <v/>
      </c>
      <c r="N67" s="76" t="str">
        <f>IF($A$19="","",MID($A$19,14,1))</f>
        <v/>
      </c>
      <c r="O67" s="76" t="str">
        <f>IF($A$19="","",MID($A$19,15,1))</f>
        <v/>
      </c>
      <c r="P67" s="76" t="str">
        <f>IF($A$19="","",MID($A$19,16,1))</f>
        <v/>
      </c>
      <c r="Q67" s="76" t="str">
        <f>IF($A$19="","",MID($A$19,17,1))</f>
        <v/>
      </c>
      <c r="R67" s="76" t="str">
        <f>IF($A$19="","",MID($A$19,18,1))</f>
        <v/>
      </c>
      <c r="S67" s="78" t="str">
        <f>IF(S19="","",S19)</f>
        <v/>
      </c>
      <c r="T67" s="77"/>
      <c r="U67" s="77"/>
      <c r="V67" s="77"/>
      <c r="W67" s="78" t="str">
        <f>IF(W19="","",W19)</f>
        <v/>
      </c>
      <c r="X67" s="77"/>
      <c r="Y67" s="77"/>
      <c r="Z67" s="77"/>
      <c r="AA67" s="77"/>
      <c r="AB67" s="77"/>
      <c r="AC67" s="86" t="str">
        <f>IF(AC19="","",AC19)</f>
        <v/>
      </c>
      <c r="AD67" s="77"/>
      <c r="AE67" s="77"/>
      <c r="AF67" s="77"/>
      <c r="AG67" s="77"/>
      <c r="AH67" s="77"/>
      <c r="AI67" s="77"/>
      <c r="AJ67" s="77"/>
      <c r="AK67" s="77"/>
      <c r="AL67" s="77"/>
      <c r="AM67" s="77"/>
      <c r="AN67" s="77"/>
      <c r="AO67" s="77"/>
      <c r="AP67" s="77"/>
      <c r="AQ67" s="77"/>
    </row>
    <row r="68" spans="1:43" ht="11.25" customHeight="1" x14ac:dyDescent="0.4">
      <c r="A68" s="77"/>
      <c r="B68" s="77"/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77"/>
      <c r="AJ68" s="77"/>
      <c r="AK68" s="77"/>
      <c r="AL68" s="77"/>
      <c r="AM68" s="77"/>
      <c r="AN68" s="77"/>
      <c r="AO68" s="77"/>
      <c r="AP68" s="77"/>
      <c r="AQ68" s="77"/>
    </row>
    <row r="69" spans="1:43" ht="15.75" customHeight="1" x14ac:dyDescent="0.4">
      <c r="AC69" s="67"/>
      <c r="AD69" s="67"/>
      <c r="AE69" s="67"/>
      <c r="AF69" s="67"/>
      <c r="AG69" s="67"/>
      <c r="AH69" s="67"/>
      <c r="AI69" s="67"/>
      <c r="AJ69" s="67"/>
      <c r="AK69" s="67"/>
      <c r="AL69" s="67"/>
      <c r="AM69" s="67"/>
      <c r="AN69" s="67"/>
      <c r="AO69" s="67"/>
      <c r="AP69" s="67"/>
      <c r="AQ69" s="67"/>
    </row>
    <row r="70" spans="1:43" ht="15.75" customHeight="1" x14ac:dyDescent="0.4">
      <c r="A70" t="s">
        <v>25</v>
      </c>
      <c r="B70" t="s">
        <v>26</v>
      </c>
    </row>
    <row r="71" spans="1:43" ht="15.75" customHeight="1" x14ac:dyDescent="0.4">
      <c r="A71" t="s">
        <v>27</v>
      </c>
      <c r="B71" t="s">
        <v>28</v>
      </c>
    </row>
    <row r="72" spans="1:43" ht="15.75" customHeight="1" x14ac:dyDescent="0.4">
      <c r="A72" t="s">
        <v>29</v>
      </c>
      <c r="B72" t="s">
        <v>30</v>
      </c>
    </row>
    <row r="73" spans="1:43" ht="15.75" customHeight="1" x14ac:dyDescent="0.4">
      <c r="A73" t="s">
        <v>31</v>
      </c>
      <c r="B73" t="s">
        <v>32</v>
      </c>
    </row>
    <row r="74" spans="1:43" ht="15.75" customHeight="1" x14ac:dyDescent="0.4">
      <c r="A74" t="s">
        <v>33</v>
      </c>
      <c r="B74" t="s">
        <v>22</v>
      </c>
    </row>
    <row r="75" spans="1:43" ht="15.75" customHeight="1" x14ac:dyDescent="0.4">
      <c r="A75" t="s">
        <v>34</v>
      </c>
      <c r="B75" t="s">
        <v>19</v>
      </c>
    </row>
    <row r="76" spans="1:43" ht="15.75" customHeight="1" x14ac:dyDescent="0.4">
      <c r="A76" t="s">
        <v>35</v>
      </c>
      <c r="B76" t="s">
        <v>20</v>
      </c>
    </row>
    <row r="77" spans="1:43" ht="15.75" customHeight="1" x14ac:dyDescent="0.4"/>
    <row r="78" spans="1:43" ht="15.75" customHeight="1" x14ac:dyDescent="0.4"/>
    <row r="79" spans="1:43" ht="15.75" customHeight="1" x14ac:dyDescent="0.4"/>
    <row r="80" spans="1:43" ht="15.75" customHeight="1" x14ac:dyDescent="0.4"/>
    <row r="81" ht="15.75" customHeight="1" x14ac:dyDescent="0.4"/>
  </sheetData>
  <mergeCells count="249">
    <mergeCell ref="F59:F60"/>
    <mergeCell ref="AC61:AQ62"/>
    <mergeCell ref="N67:N68"/>
    <mergeCell ref="P67:P68"/>
    <mergeCell ref="I67:I68"/>
    <mergeCell ref="S65:V66"/>
    <mergeCell ref="O67:O68"/>
    <mergeCell ref="AM29:AQ30"/>
    <mergeCell ref="AC63:AQ64"/>
    <mergeCell ref="AK29:AL30"/>
    <mergeCell ref="AC65:AQ66"/>
    <mergeCell ref="F40:F41"/>
    <mergeCell ref="C63:C64"/>
    <mergeCell ref="H59:H60"/>
    <mergeCell ref="R59:R60"/>
    <mergeCell ref="J59:J60"/>
    <mergeCell ref="E63:E64"/>
    <mergeCell ref="D36:D37"/>
    <mergeCell ref="W13:AB14"/>
    <mergeCell ref="W44:AB45"/>
    <mergeCell ref="O63:O64"/>
    <mergeCell ref="F52:G53"/>
    <mergeCell ref="Q63:Q64"/>
    <mergeCell ref="A29:E30"/>
    <mergeCell ref="W63:AB64"/>
    <mergeCell ref="B63:B64"/>
    <mergeCell ref="D63:D64"/>
    <mergeCell ref="Y29:Z30"/>
    <mergeCell ref="A59:A60"/>
    <mergeCell ref="A32:R33"/>
    <mergeCell ref="F63:F64"/>
    <mergeCell ref="M59:M60"/>
    <mergeCell ref="H63:H64"/>
    <mergeCell ref="G36:G37"/>
    <mergeCell ref="D40:D41"/>
    <mergeCell ref="W17:AB18"/>
    <mergeCell ref="AH3:AQ3"/>
    <mergeCell ref="J36:J37"/>
    <mergeCell ref="O40:O41"/>
    <mergeCell ref="S15:V16"/>
    <mergeCell ref="W55:AB56"/>
    <mergeCell ref="Q40:Q41"/>
    <mergeCell ref="R40:R41"/>
    <mergeCell ref="F4:G5"/>
    <mergeCell ref="H4:I5"/>
    <mergeCell ref="J29:K30"/>
    <mergeCell ref="AC9:AL10"/>
    <mergeCell ref="AC15:AQ16"/>
    <mergeCell ref="W32:AB33"/>
    <mergeCell ref="G40:G41"/>
    <mergeCell ref="H29:I30"/>
    <mergeCell ref="G44:G45"/>
    <mergeCell ref="L40:L41"/>
    <mergeCell ref="I44:I45"/>
    <mergeCell ref="N40:N41"/>
    <mergeCell ref="F44:F45"/>
    <mergeCell ref="P44:P45"/>
    <mergeCell ref="R44:R45"/>
    <mergeCell ref="W42:AB43"/>
    <mergeCell ref="F50:G51"/>
    <mergeCell ref="A2:E3"/>
    <mergeCell ref="F36:F37"/>
    <mergeCell ref="AC40:AQ41"/>
    <mergeCell ref="W19:AB20"/>
    <mergeCell ref="O36:O37"/>
    <mergeCell ref="S67:V68"/>
    <mergeCell ref="S42:V43"/>
    <mergeCell ref="A38:R39"/>
    <mergeCell ref="B67:B68"/>
    <mergeCell ref="AC17:AQ18"/>
    <mergeCell ref="S4:T5"/>
    <mergeCell ref="AC32:AQ33"/>
    <mergeCell ref="U4:V5"/>
    <mergeCell ref="S13:V14"/>
    <mergeCell ref="P36:P37"/>
    <mergeCell ref="K40:K41"/>
    <mergeCell ref="R36:R37"/>
    <mergeCell ref="C40:C41"/>
    <mergeCell ref="AB29:AG30"/>
    <mergeCell ref="E40:E41"/>
    <mergeCell ref="M40:M41"/>
    <mergeCell ref="S29:T30"/>
    <mergeCell ref="J52:K53"/>
    <mergeCell ref="A4:E5"/>
    <mergeCell ref="AK4:AL5"/>
    <mergeCell ref="S55:V56"/>
    <mergeCell ref="AC67:AQ68"/>
    <mergeCell ref="A63:A64"/>
    <mergeCell ref="M63:M64"/>
    <mergeCell ref="S32:V33"/>
    <mergeCell ref="AC55:AQ56"/>
    <mergeCell ref="S63:V64"/>
    <mergeCell ref="A55:R56"/>
    <mergeCell ref="AC59:AQ60"/>
    <mergeCell ref="AB54:AJ54"/>
    <mergeCell ref="AC57:AL58"/>
    <mergeCell ref="N63:N64"/>
    <mergeCell ref="N52:R53"/>
    <mergeCell ref="M67:M68"/>
    <mergeCell ref="P63:P64"/>
    <mergeCell ref="A27:E28"/>
    <mergeCell ref="E67:E68"/>
    <mergeCell ref="A42:R43"/>
    <mergeCell ref="S11:V12"/>
    <mergeCell ref="AH28:AQ28"/>
    <mergeCell ref="H36:H37"/>
    <mergeCell ref="F29:G30"/>
    <mergeCell ref="B40:B41"/>
    <mergeCell ref="G67:G68"/>
    <mergeCell ref="R63:R64"/>
    <mergeCell ref="AH51:AQ51"/>
    <mergeCell ref="AM57:AQ58"/>
    <mergeCell ref="N29:R30"/>
    <mergeCell ref="I36:I37"/>
    <mergeCell ref="S17:V18"/>
    <mergeCell ref="A36:A37"/>
    <mergeCell ref="W57:AB58"/>
    <mergeCell ref="P40:P41"/>
    <mergeCell ref="Q26:AB28"/>
    <mergeCell ref="AK26:AP26"/>
    <mergeCell ref="C44:C45"/>
    <mergeCell ref="C59:C60"/>
    <mergeCell ref="H40:H41"/>
    <mergeCell ref="J40:J41"/>
    <mergeCell ref="K59:K60"/>
    <mergeCell ref="F27:G28"/>
    <mergeCell ref="H27:I28"/>
    <mergeCell ref="U52:V53"/>
    <mergeCell ref="Y52:Z53"/>
    <mergeCell ref="W52:X53"/>
    <mergeCell ref="A34:R35"/>
    <mergeCell ref="E59:E60"/>
    <mergeCell ref="W4:X5"/>
    <mergeCell ref="Y4:Z5"/>
    <mergeCell ref="A7:R8"/>
    <mergeCell ref="B36:B37"/>
    <mergeCell ref="L59:L60"/>
    <mergeCell ref="N59:N60"/>
    <mergeCell ref="I63:I64"/>
    <mergeCell ref="S36:V37"/>
    <mergeCell ref="W34:AB35"/>
    <mergeCell ref="S19:V20"/>
    <mergeCell ref="Q44:Q45"/>
    <mergeCell ref="A15:R16"/>
    <mergeCell ref="O44:O45"/>
    <mergeCell ref="U29:V30"/>
    <mergeCell ref="W40:AB41"/>
    <mergeCell ref="W29:X30"/>
    <mergeCell ref="S9:V10"/>
    <mergeCell ref="C36:C37"/>
    <mergeCell ref="W36:AB37"/>
    <mergeCell ref="B44:B45"/>
    <mergeCell ref="L52:M53"/>
    <mergeCell ref="L44:L45"/>
    <mergeCell ref="G63:G64"/>
    <mergeCell ref="N44:N45"/>
    <mergeCell ref="R67:R68"/>
    <mergeCell ref="AB6:AJ6"/>
    <mergeCell ref="AC42:AQ43"/>
    <mergeCell ref="H67:H68"/>
    <mergeCell ref="W59:AB60"/>
    <mergeCell ref="J67:J68"/>
    <mergeCell ref="S44:V45"/>
    <mergeCell ref="AM9:AQ10"/>
    <mergeCell ref="H50:I51"/>
    <mergeCell ref="W65:AB66"/>
    <mergeCell ref="J63:J64"/>
    <mergeCell ref="L63:L64"/>
    <mergeCell ref="K67:K68"/>
    <mergeCell ref="L67:L68"/>
    <mergeCell ref="K63:K64"/>
    <mergeCell ref="W67:AB68"/>
    <mergeCell ref="S61:V62"/>
    <mergeCell ref="AC11:AQ12"/>
    <mergeCell ref="AB31:AJ31"/>
    <mergeCell ref="P59:P60"/>
    <mergeCell ref="A13:R14"/>
    <mergeCell ref="F2:G3"/>
    <mergeCell ref="A50:E51"/>
    <mergeCell ref="H2:I3"/>
    <mergeCell ref="L36:L37"/>
    <mergeCell ref="N36:N37"/>
    <mergeCell ref="W9:AB10"/>
    <mergeCell ref="AC44:AQ45"/>
    <mergeCell ref="W61:AB62"/>
    <mergeCell ref="A40:A41"/>
    <mergeCell ref="A17:R18"/>
    <mergeCell ref="Q1:AB3"/>
    <mergeCell ref="AK1:AP1"/>
    <mergeCell ref="S38:V39"/>
    <mergeCell ref="Q49:AB51"/>
    <mergeCell ref="O59:O60"/>
    <mergeCell ref="S34:V35"/>
    <mergeCell ref="AB4:AG5"/>
    <mergeCell ref="AK52:AL53"/>
    <mergeCell ref="A61:R62"/>
    <mergeCell ref="B59:B60"/>
    <mergeCell ref="A57:R58"/>
    <mergeCell ref="D44:D45"/>
    <mergeCell ref="D59:D60"/>
    <mergeCell ref="A52:E53"/>
    <mergeCell ref="A67:A68"/>
    <mergeCell ref="H52:I53"/>
    <mergeCell ref="AM34:AQ35"/>
    <mergeCell ref="AC19:AQ20"/>
    <mergeCell ref="H44:H45"/>
    <mergeCell ref="K36:K37"/>
    <mergeCell ref="J44:J45"/>
    <mergeCell ref="J4:K5"/>
    <mergeCell ref="L29:M30"/>
    <mergeCell ref="L4:M5"/>
    <mergeCell ref="E44:E45"/>
    <mergeCell ref="AM4:AQ5"/>
    <mergeCell ref="A19:R20"/>
    <mergeCell ref="AC36:AQ37"/>
    <mergeCell ref="S7:V8"/>
    <mergeCell ref="A9:R10"/>
    <mergeCell ref="Q67:Q68"/>
    <mergeCell ref="W38:AB39"/>
    <mergeCell ref="K44:K45"/>
    <mergeCell ref="S57:V58"/>
    <mergeCell ref="W15:AB16"/>
    <mergeCell ref="AC13:AQ14"/>
    <mergeCell ref="AC7:AQ8"/>
    <mergeCell ref="A11:R12"/>
    <mergeCell ref="C67:C68"/>
    <mergeCell ref="Q59:Q60"/>
    <mergeCell ref="M36:M37"/>
    <mergeCell ref="S40:V41"/>
    <mergeCell ref="N4:R5"/>
    <mergeCell ref="I40:I41"/>
    <mergeCell ref="W7:AB8"/>
    <mergeCell ref="AK49:AP49"/>
    <mergeCell ref="E36:E37"/>
    <mergeCell ref="AC34:AL35"/>
    <mergeCell ref="Q36:Q37"/>
    <mergeCell ref="G59:G60"/>
    <mergeCell ref="AB52:AG53"/>
    <mergeCell ref="A65:R66"/>
    <mergeCell ref="I59:I60"/>
    <mergeCell ref="S52:T53"/>
    <mergeCell ref="D67:D68"/>
    <mergeCell ref="A44:A45"/>
    <mergeCell ref="F67:F68"/>
    <mergeCell ref="AC38:AQ39"/>
    <mergeCell ref="M44:M45"/>
    <mergeCell ref="AM52:AQ53"/>
    <mergeCell ref="W11:AB12"/>
    <mergeCell ref="S59:V60"/>
  </mergeCells>
  <phoneticPr fontId="4"/>
  <dataValidations count="4">
    <dataValidation type="list" allowBlank="1" showInputMessage="1" sqref="S11:V12" xr:uid="{00000000-0002-0000-0000-000000000000}">
      <formula1>"1,2,3,4,5"</formula1>
    </dataValidation>
    <dataValidation type="list" allowBlank="1" showInputMessage="1" showErrorMessage="1" sqref="AM9:AQ10" xr:uid="{00000000-0002-0000-0000-000001000000}">
      <formula1>"AX44,AX60,AX02,AX36,AX86,AX28"</formula1>
    </dataValidation>
    <dataValidation type="list" allowBlank="1" showInputMessage="1" showErrorMessage="1" sqref="A9:R10" xr:uid="{00000000-0002-0000-0000-000002000000}">
      <formula1>"代替品"</formula1>
    </dataValidation>
    <dataValidation type="list" allowBlank="1" showInputMessage="1" sqref="AH3:AQ3" xr:uid="{00000000-0002-0000-0000-000003000000}">
      <formula1>$BL$6:$BL$17</formula1>
    </dataValidation>
  </dataValidations>
  <pageMargins left="0.70866141732283472" right="0.70866141732283472" top="0.74803149606299213" bottom="0.74803149606299213" header="0.31496062992125978" footer="0.31496062992125978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小口ラベル作成">
                <anchor moveWithCells="1" sizeWithCells="1">
                  <from>
                    <xdr:col>45</xdr:col>
                    <xdr:colOff>19050</xdr:colOff>
                    <xdr:row>5</xdr:row>
                    <xdr:rowOff>19050</xdr:rowOff>
                  </from>
                  <to>
                    <xdr:col>57</xdr:col>
                    <xdr:colOff>57150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AC38"/>
  <sheetViews>
    <sheetView workbookViewId="0">
      <selection activeCell="S11" sqref="S11:AH11"/>
    </sheetView>
  </sheetViews>
  <sheetFormatPr defaultRowHeight="15.75" x14ac:dyDescent="0.4"/>
  <cols>
    <col min="1" max="7" width="7.375" style="68" customWidth="1"/>
    <col min="8" max="10" width="9" style="68" customWidth="1"/>
    <col min="11" max="16384" width="9" style="68"/>
  </cols>
  <sheetData>
    <row r="1" spans="1:29" ht="7.5" customHeight="1" thickBot="1" x14ac:dyDescent="0.45">
      <c r="A1" s="5"/>
      <c r="B1" s="5"/>
      <c r="C1" s="5"/>
      <c r="D1" s="5"/>
      <c r="E1" s="5"/>
      <c r="F1" s="5"/>
      <c r="G1" s="6"/>
    </row>
    <row r="2" spans="1:29" ht="12.75" customHeight="1" x14ac:dyDescent="0.4">
      <c r="A2" s="3"/>
      <c r="B2" s="4"/>
      <c r="C2" s="106" t="s">
        <v>158</v>
      </c>
      <c r="D2" s="107"/>
      <c r="E2" s="107"/>
      <c r="F2" s="107"/>
      <c r="G2" s="108"/>
    </row>
    <row r="3" spans="1:29" ht="12.75" customHeight="1" x14ac:dyDescent="0.4">
      <c r="A3" s="3"/>
      <c r="B3" s="4"/>
      <c r="C3" s="109"/>
      <c r="D3" s="107"/>
      <c r="E3" s="107"/>
      <c r="F3" s="107"/>
      <c r="G3" s="108"/>
    </row>
    <row r="4" spans="1:29" ht="12.75" customHeight="1" x14ac:dyDescent="0.4">
      <c r="A4" s="104" t="s">
        <v>36</v>
      </c>
      <c r="B4" s="105"/>
      <c r="C4" s="109"/>
      <c r="D4" s="107"/>
      <c r="E4" s="107"/>
      <c r="F4" s="107"/>
      <c r="G4" s="108"/>
    </row>
    <row r="5" spans="1:29" ht="12.75" customHeight="1" x14ac:dyDescent="0.4">
      <c r="A5" s="82"/>
      <c r="B5" s="84"/>
      <c r="C5" s="82"/>
      <c r="D5" s="83"/>
      <c r="E5" s="83"/>
      <c r="F5" s="83"/>
      <c r="G5" s="110"/>
    </row>
    <row r="6" spans="1:29" ht="12.75" customHeight="1" x14ac:dyDescent="0.4">
      <c r="A6" s="111" t="s">
        <v>37</v>
      </c>
      <c r="B6" s="81"/>
      <c r="C6" s="112"/>
      <c r="D6" s="80"/>
      <c r="E6" s="80"/>
      <c r="F6" s="80"/>
      <c r="G6" s="113"/>
    </row>
    <row r="7" spans="1:29" ht="12.75" customHeight="1" x14ac:dyDescent="0.4">
      <c r="A7" s="109"/>
      <c r="B7" s="105"/>
      <c r="C7" s="109"/>
      <c r="D7" s="107"/>
      <c r="E7" s="107"/>
      <c r="F7" s="107"/>
      <c r="G7" s="108"/>
    </row>
    <row r="8" spans="1:29" ht="12.75" customHeight="1" x14ac:dyDescent="0.4">
      <c r="A8" s="109"/>
      <c r="B8" s="105"/>
      <c r="C8" s="109"/>
      <c r="D8" s="107"/>
      <c r="E8" s="107"/>
      <c r="F8" s="107"/>
      <c r="G8" s="108"/>
    </row>
    <row r="9" spans="1:29" ht="12.75" customHeight="1" x14ac:dyDescent="0.4">
      <c r="A9" s="82"/>
      <c r="B9" s="84"/>
      <c r="C9" s="82"/>
      <c r="D9" s="83"/>
      <c r="E9" s="83"/>
      <c r="F9" s="83"/>
      <c r="G9" s="110"/>
      <c r="AC9" s="68" t="s">
        <v>38</v>
      </c>
    </row>
    <row r="10" spans="1:29" ht="12.75" customHeight="1" x14ac:dyDescent="0.4">
      <c r="A10" s="111" t="s">
        <v>39</v>
      </c>
      <c r="B10" s="81"/>
      <c r="C10" s="117"/>
      <c r="D10" s="80"/>
      <c r="E10" s="80"/>
      <c r="F10" s="80"/>
      <c r="G10" s="122" t="s">
        <v>40</v>
      </c>
    </row>
    <row r="11" spans="1:29" ht="12.75" customHeight="1" x14ac:dyDescent="0.4">
      <c r="A11" s="109"/>
      <c r="B11" s="105"/>
      <c r="C11" s="109"/>
      <c r="D11" s="107"/>
      <c r="E11" s="107"/>
      <c r="F11" s="107"/>
      <c r="G11" s="108"/>
      <c r="AC11" s="68" t="s">
        <v>41</v>
      </c>
    </row>
    <row r="12" spans="1:29" ht="12.75" customHeight="1" x14ac:dyDescent="0.4">
      <c r="A12" s="109"/>
      <c r="B12" s="105"/>
      <c r="C12" s="109"/>
      <c r="D12" s="107"/>
      <c r="E12" s="107"/>
      <c r="F12" s="107"/>
      <c r="G12" s="108"/>
    </row>
    <row r="13" spans="1:29" ht="12.75" customHeight="1" x14ac:dyDescent="0.4">
      <c r="A13" s="82"/>
      <c r="B13" s="84"/>
      <c r="C13" s="82"/>
      <c r="D13" s="83"/>
      <c r="E13" s="83"/>
      <c r="F13" s="83"/>
      <c r="G13" s="110"/>
      <c r="AC13" s="68" t="s">
        <v>21</v>
      </c>
    </row>
    <row r="14" spans="1:29" ht="12.75" customHeight="1" x14ac:dyDescent="0.4">
      <c r="A14" s="111" t="s">
        <v>42</v>
      </c>
      <c r="B14" s="81"/>
      <c r="C14" s="112"/>
      <c r="D14" s="80"/>
      <c r="E14" s="80"/>
      <c r="F14" s="80"/>
      <c r="G14" s="113"/>
    </row>
    <row r="15" spans="1:29" ht="12.75" customHeight="1" x14ac:dyDescent="0.4">
      <c r="A15" s="109"/>
      <c r="B15" s="105"/>
      <c r="C15" s="109"/>
      <c r="D15" s="107"/>
      <c r="E15" s="107"/>
      <c r="F15" s="107"/>
      <c r="G15" s="108"/>
      <c r="M15" s="56"/>
      <c r="AC15" s="68" t="str">
        <f>AC11</f>
        <v>ヤマリ日軽住建㈱CM第三倉庫様</v>
      </c>
    </row>
    <row r="16" spans="1:29" ht="12.75" customHeight="1" x14ac:dyDescent="0.4">
      <c r="A16" s="109"/>
      <c r="B16" s="105"/>
      <c r="C16" s="109"/>
      <c r="D16" s="107"/>
      <c r="E16" s="107"/>
      <c r="F16" s="107"/>
      <c r="G16" s="108"/>
    </row>
    <row r="17" spans="1:29" ht="12.75" customHeight="1" x14ac:dyDescent="0.4">
      <c r="A17" s="82"/>
      <c r="B17" s="84"/>
      <c r="C17" s="82"/>
      <c r="D17" s="83"/>
      <c r="E17" s="83"/>
      <c r="F17" s="83"/>
      <c r="G17" s="110"/>
      <c r="AC17" s="68" t="s">
        <v>43</v>
      </c>
    </row>
    <row r="18" spans="1:29" ht="12.75" customHeight="1" x14ac:dyDescent="0.4">
      <c r="A18" s="120" t="s">
        <v>44</v>
      </c>
      <c r="B18" s="81"/>
      <c r="C18" s="118" t="s">
        <v>45</v>
      </c>
      <c r="D18" s="114"/>
      <c r="E18" s="80"/>
      <c r="F18" s="80"/>
      <c r="G18" s="113"/>
    </row>
    <row r="19" spans="1:29" ht="10.5" customHeight="1" thickBot="1" x14ac:dyDescent="0.45">
      <c r="A19" s="119"/>
      <c r="B19" s="121"/>
      <c r="C19" s="119"/>
      <c r="D19" s="115"/>
      <c r="E19" s="115"/>
      <c r="F19" s="115"/>
      <c r="G19" s="116"/>
      <c r="AC19" s="68" t="s">
        <v>46</v>
      </c>
    </row>
    <row r="20" spans="1:29" ht="12.75" customHeight="1" x14ac:dyDescent="0.4">
      <c r="A20" s="3"/>
      <c r="B20" s="4"/>
      <c r="C20" s="106" t="str">
        <f>IF(C2="","",C2)</f>
        <v>代替品</v>
      </c>
      <c r="D20" s="107"/>
      <c r="E20" s="107"/>
      <c r="F20" s="107"/>
      <c r="G20" s="108"/>
    </row>
    <row r="21" spans="1:29" ht="12.75" customHeight="1" x14ac:dyDescent="0.4">
      <c r="A21" s="3"/>
      <c r="B21" s="4"/>
      <c r="C21" s="109"/>
      <c r="D21" s="107"/>
      <c r="E21" s="107"/>
      <c r="F21" s="107"/>
      <c r="G21" s="108"/>
    </row>
    <row r="22" spans="1:29" ht="12.75" customHeight="1" x14ac:dyDescent="0.4">
      <c r="A22" s="104" t="s">
        <v>36</v>
      </c>
      <c r="B22" s="105"/>
      <c r="C22" s="109"/>
      <c r="D22" s="107"/>
      <c r="E22" s="107"/>
      <c r="F22" s="107"/>
      <c r="G22" s="108"/>
    </row>
    <row r="23" spans="1:29" ht="12.75" customHeight="1" x14ac:dyDescent="0.4">
      <c r="A23" s="82"/>
      <c r="B23" s="84"/>
      <c r="C23" s="82"/>
      <c r="D23" s="83"/>
      <c r="E23" s="83"/>
      <c r="F23" s="83"/>
      <c r="G23" s="110"/>
    </row>
    <row r="24" spans="1:29" ht="12.75" customHeight="1" x14ac:dyDescent="0.4">
      <c r="A24" s="111" t="s">
        <v>37</v>
      </c>
      <c r="B24" s="81"/>
      <c r="C24" s="112" t="str">
        <f>IF(C6="","",C6)</f>
        <v/>
      </c>
      <c r="D24" s="80"/>
      <c r="E24" s="80"/>
      <c r="F24" s="80"/>
      <c r="G24" s="113"/>
    </row>
    <row r="25" spans="1:29" ht="12.75" customHeight="1" x14ac:dyDescent="0.4">
      <c r="A25" s="109"/>
      <c r="B25" s="105"/>
      <c r="C25" s="109"/>
      <c r="D25" s="107"/>
      <c r="E25" s="107"/>
      <c r="F25" s="107"/>
      <c r="G25" s="108"/>
    </row>
    <row r="26" spans="1:29" ht="12.75" customHeight="1" x14ac:dyDescent="0.4">
      <c r="A26" s="109"/>
      <c r="B26" s="105"/>
      <c r="C26" s="109"/>
      <c r="D26" s="107"/>
      <c r="E26" s="107"/>
      <c r="F26" s="107"/>
      <c r="G26" s="108"/>
    </row>
    <row r="27" spans="1:29" ht="12.75" customHeight="1" x14ac:dyDescent="0.4">
      <c r="A27" s="82"/>
      <c r="B27" s="84"/>
      <c r="C27" s="82"/>
      <c r="D27" s="83"/>
      <c r="E27" s="83"/>
      <c r="F27" s="83"/>
      <c r="G27" s="110"/>
    </row>
    <row r="28" spans="1:29" ht="12.75" customHeight="1" x14ac:dyDescent="0.4">
      <c r="A28" s="111" t="s">
        <v>39</v>
      </c>
      <c r="B28" s="81"/>
      <c r="C28" s="117" t="str">
        <f>IF(C10="","",C10)</f>
        <v/>
      </c>
      <c r="D28" s="80"/>
      <c r="E28" s="80"/>
      <c r="F28" s="80"/>
      <c r="G28" s="122" t="str">
        <f>IF(G10="","",G10)</f>
        <v>①</v>
      </c>
    </row>
    <row r="29" spans="1:29" ht="12.75" customHeight="1" x14ac:dyDescent="0.4">
      <c r="A29" s="109"/>
      <c r="B29" s="105"/>
      <c r="C29" s="109"/>
      <c r="D29" s="107"/>
      <c r="E29" s="107"/>
      <c r="F29" s="107"/>
      <c r="G29" s="108"/>
    </row>
    <row r="30" spans="1:29" ht="12.75" customHeight="1" x14ac:dyDescent="0.4">
      <c r="A30" s="109"/>
      <c r="B30" s="105"/>
      <c r="C30" s="109"/>
      <c r="D30" s="107"/>
      <c r="E30" s="107"/>
      <c r="F30" s="107"/>
      <c r="G30" s="108"/>
    </row>
    <row r="31" spans="1:29" ht="12.75" customHeight="1" x14ac:dyDescent="0.4">
      <c r="A31" s="82"/>
      <c r="B31" s="84"/>
      <c r="C31" s="82"/>
      <c r="D31" s="83"/>
      <c r="E31" s="83"/>
      <c r="F31" s="83"/>
      <c r="G31" s="110"/>
    </row>
    <row r="32" spans="1:29" ht="12.75" customHeight="1" x14ac:dyDescent="0.4">
      <c r="A32" s="111" t="s">
        <v>42</v>
      </c>
      <c r="B32" s="81"/>
      <c r="C32" s="112" t="str">
        <f>IF(C14="","",C14)</f>
        <v/>
      </c>
      <c r="D32" s="80"/>
      <c r="E32" s="80"/>
      <c r="F32" s="80"/>
      <c r="G32" s="113"/>
    </row>
    <row r="33" spans="1:7" ht="12.75" customHeight="1" x14ac:dyDescent="0.4">
      <c r="A33" s="109"/>
      <c r="B33" s="105"/>
      <c r="C33" s="109"/>
      <c r="D33" s="107"/>
      <c r="E33" s="107"/>
      <c r="F33" s="107"/>
      <c r="G33" s="108"/>
    </row>
    <row r="34" spans="1:7" ht="12.75" customHeight="1" x14ac:dyDescent="0.4">
      <c r="A34" s="109"/>
      <c r="B34" s="105"/>
      <c r="C34" s="109"/>
      <c r="D34" s="107"/>
      <c r="E34" s="107"/>
      <c r="F34" s="107"/>
      <c r="G34" s="108"/>
    </row>
    <row r="35" spans="1:7" ht="12.75" customHeight="1" x14ac:dyDescent="0.4">
      <c r="A35" s="82"/>
      <c r="B35" s="84"/>
      <c r="C35" s="82"/>
      <c r="D35" s="83"/>
      <c r="E35" s="83"/>
      <c r="F35" s="83"/>
      <c r="G35" s="110"/>
    </row>
    <row r="36" spans="1:7" ht="12.75" customHeight="1" x14ac:dyDescent="0.4">
      <c r="A36" s="120" t="s">
        <v>44</v>
      </c>
      <c r="B36" s="81"/>
      <c r="C36" s="118" t="str">
        <f>IF(C18="","",C18)</f>
        <v>東物//</v>
      </c>
      <c r="D36" s="114" t="str">
        <f>IF(D18="","",D18)</f>
        <v/>
      </c>
      <c r="E36" s="80"/>
      <c r="F36" s="80"/>
      <c r="G36" s="113"/>
    </row>
    <row r="37" spans="1:7" ht="10.5" customHeight="1" thickBot="1" x14ac:dyDescent="0.45">
      <c r="A37" s="119"/>
      <c r="B37" s="121"/>
      <c r="C37" s="119"/>
      <c r="D37" s="115"/>
      <c r="E37" s="115"/>
      <c r="F37" s="115"/>
      <c r="G37" s="116"/>
    </row>
    <row r="38" spans="1:7" ht="7.5" customHeight="1" x14ac:dyDescent="0.4"/>
  </sheetData>
  <mergeCells count="24">
    <mergeCell ref="A32:B35"/>
    <mergeCell ref="D36:G37"/>
    <mergeCell ref="A22:B23"/>
    <mergeCell ref="C10:F13"/>
    <mergeCell ref="G10:G13"/>
    <mergeCell ref="G28:G31"/>
    <mergeCell ref="C36:C37"/>
    <mergeCell ref="A36:B37"/>
    <mergeCell ref="A4:B5"/>
    <mergeCell ref="C2:G5"/>
    <mergeCell ref="A14:B17"/>
    <mergeCell ref="A10:B13"/>
    <mergeCell ref="C32:G35"/>
    <mergeCell ref="D18:G19"/>
    <mergeCell ref="A28:B31"/>
    <mergeCell ref="A24:B27"/>
    <mergeCell ref="C6:G9"/>
    <mergeCell ref="C24:G27"/>
    <mergeCell ref="C14:G17"/>
    <mergeCell ref="C28:F31"/>
    <mergeCell ref="C20:G23"/>
    <mergeCell ref="C18:C19"/>
    <mergeCell ref="A6:B9"/>
    <mergeCell ref="A18:B19"/>
  </mergeCells>
  <phoneticPr fontId="4"/>
  <dataValidations count="1">
    <dataValidation type="list" allowBlank="1" showInputMessage="1" sqref="C18:C19" xr:uid="{00000000-0002-0000-0100-000000000000}">
      <formula1>"北物//,東物//,関物//,近物//,岡物//,九物//,小口//"</formula1>
    </dataValidation>
  </dataValidations>
  <pageMargins left="0" right="0.70866141732283472" top="0" bottom="0.74803149606299213" header="0" footer="0.31496062992125978"/>
  <pageSetup paperSize="11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" r:id="rId3" name="Button 5">
              <controlPr defaultSize="0" print="0" autoFill="0" autoPict="0" macro="[0]!ThisWorkbook.印刷">
                <anchor moveWithCells="1" sizeWithCells="1">
                  <from>
                    <xdr:col>8</xdr:col>
                    <xdr:colOff>428625</xdr:colOff>
                    <xdr:row>8</xdr:row>
                    <xdr:rowOff>38100</xdr:rowOff>
                  </from>
                  <to>
                    <xdr:col>13</xdr:col>
                    <xdr:colOff>371475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9" tint="0.59999389629810485"/>
    <pageSetUpPr fitToPage="1"/>
  </sheetPr>
  <dimension ref="B1:BP69"/>
  <sheetViews>
    <sheetView showGridLines="0" workbookViewId="0">
      <selection activeCell="S11" sqref="S11:AH11"/>
    </sheetView>
  </sheetViews>
  <sheetFormatPr defaultColWidth="3.125" defaultRowHeight="14.25" x14ac:dyDescent="0.4"/>
  <cols>
    <col min="1" max="2" width="1.25" style="70" customWidth="1"/>
    <col min="3" max="42" width="3.125" style="70" customWidth="1"/>
    <col min="43" max="44" width="1.25" style="70" customWidth="1"/>
    <col min="45" max="55" width="3.125" style="70" customWidth="1"/>
    <col min="56" max="56" width="21.875" style="70" customWidth="1"/>
    <col min="57" max="57" width="12" style="70" customWidth="1"/>
    <col min="58" max="58" width="9.875" style="70" customWidth="1"/>
    <col min="59" max="60" width="3.125" style="70" customWidth="1"/>
    <col min="61" max="61" width="4.75" style="70" bestFit="1" customWidth="1"/>
    <col min="62" max="66" width="3.125" style="70" customWidth="1"/>
    <col min="67" max="67" width="12.5" style="70" customWidth="1"/>
    <col min="68" max="68" width="11.75" style="70" bestFit="1" customWidth="1"/>
    <col min="69" max="71" width="3.125" style="70" customWidth="1"/>
    <col min="72" max="16384" width="3.125" style="70"/>
  </cols>
  <sheetData>
    <row r="1" spans="2:59" ht="5.0999999999999996" customHeight="1" thickBot="1" x14ac:dyDescent="0.45"/>
    <row r="2" spans="2:59" ht="5.0999999999999996" customHeight="1" thickBot="1" x14ac:dyDescent="0.45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</row>
    <row r="3" spans="2:59" ht="17.25" customHeight="1" thickTop="1" x14ac:dyDescent="0.4">
      <c r="B3" s="10"/>
      <c r="C3" s="134" t="s">
        <v>47</v>
      </c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135"/>
      <c r="V3" s="136"/>
      <c r="X3" s="126" t="s">
        <v>48</v>
      </c>
      <c r="Y3" s="133"/>
      <c r="Z3" s="127"/>
      <c r="AB3" s="11" t="s">
        <v>49</v>
      </c>
      <c r="AC3" s="12"/>
      <c r="AD3" s="12"/>
      <c r="AE3" s="12"/>
      <c r="AF3" s="12"/>
      <c r="AG3" s="13"/>
      <c r="AH3" s="11" t="s">
        <v>50</v>
      </c>
      <c r="AI3" s="12"/>
      <c r="AJ3" s="12"/>
      <c r="AK3" s="12"/>
      <c r="AL3" s="12"/>
      <c r="AM3" s="12"/>
      <c r="AN3" s="12"/>
      <c r="AO3" s="12"/>
      <c r="AP3" s="13"/>
      <c r="AQ3" s="14"/>
      <c r="AS3" s="15"/>
      <c r="AT3" s="16" t="s">
        <v>51</v>
      </c>
      <c r="AU3" s="17"/>
      <c r="AV3" s="17"/>
      <c r="AW3" s="17"/>
      <c r="AX3" s="17"/>
      <c r="AY3" s="17"/>
      <c r="AZ3" s="17"/>
      <c r="BA3" s="17"/>
      <c r="BB3" s="17"/>
      <c r="BC3" s="18"/>
      <c r="BE3" s="70" t="e">
        <f>VLOOKUP(J7,ラインコード!A2:C22,2,0)</f>
        <v>#N/A</v>
      </c>
      <c r="BF3" s="40"/>
      <c r="BG3" s="40"/>
    </row>
    <row r="4" spans="2:59" ht="14.25" customHeight="1" x14ac:dyDescent="0.15">
      <c r="B4" s="10"/>
      <c r="C4" s="137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38"/>
      <c r="X4" s="163"/>
      <c r="Y4" s="146"/>
      <c r="Z4" s="147"/>
      <c r="AB4" s="164">
        <v>45608</v>
      </c>
      <c r="AC4" s="124"/>
      <c r="AD4" s="124"/>
      <c r="AE4" s="124"/>
      <c r="AF4" s="160" t="s">
        <v>52</v>
      </c>
      <c r="AG4" s="155"/>
      <c r="AH4" s="123">
        <v>0</v>
      </c>
      <c r="AI4" s="124"/>
      <c r="AJ4" s="124"/>
      <c r="AK4" s="124"/>
      <c r="AP4" s="19"/>
      <c r="AQ4" s="14"/>
      <c r="AS4" s="15"/>
      <c r="AT4" s="20" t="s">
        <v>53</v>
      </c>
      <c r="AU4" s="21"/>
      <c r="AV4" s="21"/>
      <c r="AW4" s="21"/>
      <c r="AX4" s="21"/>
      <c r="AY4" s="21"/>
      <c r="BB4" s="22"/>
      <c r="BC4" s="23"/>
      <c r="BE4" s="70" t="e">
        <f>VLOOKUP(J7,ラインコード!A2:C24,3,0)</f>
        <v>#N/A</v>
      </c>
      <c r="BF4" s="40"/>
      <c r="BG4" s="40"/>
    </row>
    <row r="5" spans="2:59" ht="14.25" customHeight="1" x14ac:dyDescent="0.15">
      <c r="B5" s="10"/>
      <c r="C5" s="137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  <c r="O5" s="129"/>
      <c r="P5" s="129"/>
      <c r="Q5" s="129"/>
      <c r="R5" s="129"/>
      <c r="S5" s="129"/>
      <c r="T5" s="129"/>
      <c r="U5" s="129"/>
      <c r="V5" s="138"/>
      <c r="X5" s="125"/>
      <c r="Y5" s="124"/>
      <c r="Z5" s="155"/>
      <c r="AB5" s="125"/>
      <c r="AC5" s="124"/>
      <c r="AD5" s="124"/>
      <c r="AE5" s="124"/>
      <c r="AF5" s="124"/>
      <c r="AG5" s="155"/>
      <c r="AH5" s="125"/>
      <c r="AI5" s="124"/>
      <c r="AJ5" s="124"/>
      <c r="AK5" s="124"/>
      <c r="AL5" s="70" t="s">
        <v>54</v>
      </c>
      <c r="AP5" s="19"/>
      <c r="AQ5" s="14"/>
      <c r="AS5" s="15"/>
      <c r="BC5" s="15"/>
      <c r="BF5" s="40"/>
      <c r="BG5" s="40"/>
    </row>
    <row r="6" spans="2:59" ht="15" customHeight="1" thickBot="1" x14ac:dyDescent="0.2">
      <c r="B6" s="10"/>
      <c r="C6" s="139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1"/>
      <c r="W6" s="47"/>
      <c r="X6" s="156"/>
      <c r="Y6" s="102"/>
      <c r="Z6" s="157"/>
      <c r="AB6" s="164">
        <v>45614</v>
      </c>
      <c r="AC6" s="124"/>
      <c r="AD6" s="124"/>
      <c r="AE6" s="124"/>
      <c r="AF6" s="160" t="s">
        <v>55</v>
      </c>
      <c r="AG6" s="155"/>
      <c r="AH6" s="125"/>
      <c r="AI6" s="124"/>
      <c r="AJ6" s="124"/>
      <c r="AK6" s="124"/>
      <c r="AP6" s="19"/>
      <c r="AQ6" s="14"/>
      <c r="AS6" s="15"/>
      <c r="AT6" s="24"/>
      <c r="AU6" s="29"/>
      <c r="AV6" s="29"/>
      <c r="AW6" s="29"/>
      <c r="AX6" s="29"/>
      <c r="AY6" s="29"/>
      <c r="AZ6" s="29"/>
      <c r="BA6" s="29"/>
      <c r="BB6" s="29"/>
      <c r="BC6" s="25"/>
      <c r="BE6" s="70" t="s">
        <v>56</v>
      </c>
      <c r="BF6" s="40"/>
      <c r="BG6" s="40"/>
    </row>
    <row r="7" spans="2:59" ht="15" customHeight="1" thickTop="1" x14ac:dyDescent="0.15">
      <c r="B7" s="10"/>
      <c r="C7" s="162" t="s">
        <v>57</v>
      </c>
      <c r="D7" s="129"/>
      <c r="E7" s="129"/>
      <c r="F7" s="129"/>
      <c r="G7" s="129"/>
      <c r="H7" s="129"/>
      <c r="I7" s="129"/>
      <c r="J7" s="167"/>
      <c r="K7" s="135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B7" s="125"/>
      <c r="AC7" s="124"/>
      <c r="AD7" s="124"/>
      <c r="AE7" s="124"/>
      <c r="AF7" s="124"/>
      <c r="AG7" s="155"/>
      <c r="AH7" s="26"/>
      <c r="AI7" s="70" t="s">
        <v>58</v>
      </c>
      <c r="AP7" s="19"/>
      <c r="AQ7" s="14"/>
      <c r="AS7" s="15"/>
      <c r="AT7" s="27" t="s">
        <v>59</v>
      </c>
      <c r="BC7" s="15"/>
      <c r="BE7" s="70" t="s">
        <v>60</v>
      </c>
      <c r="BF7" s="40"/>
      <c r="BG7" s="40"/>
    </row>
    <row r="8" spans="2:59" ht="14.25" customHeight="1" x14ac:dyDescent="0.15">
      <c r="B8" s="10"/>
      <c r="C8" s="129"/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B8" s="170"/>
      <c r="AC8" s="124"/>
      <c r="AD8" s="124"/>
      <c r="AE8" s="124"/>
      <c r="AF8" s="169"/>
      <c r="AG8" s="155"/>
      <c r="AH8" s="26"/>
      <c r="AP8" s="19"/>
      <c r="AQ8" s="14"/>
      <c r="AS8" s="15"/>
      <c r="AT8" s="28"/>
      <c r="AU8" s="29"/>
      <c r="AV8" s="29"/>
      <c r="AW8" s="29"/>
      <c r="AX8" s="29"/>
      <c r="AY8" s="29"/>
      <c r="AZ8" s="29"/>
      <c r="BA8" s="29"/>
      <c r="BB8" s="29"/>
      <c r="BC8" s="25"/>
      <c r="BE8" s="70" t="str">
        <f>"■不具合内容："&amp;AT19</f>
        <v>■不具合内容：</v>
      </c>
      <c r="BF8" s="40"/>
      <c r="BG8" s="40"/>
    </row>
    <row r="9" spans="2:59" ht="14.25" customHeight="1" x14ac:dyDescent="0.15">
      <c r="B9" s="10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B9" s="156"/>
      <c r="AC9" s="102"/>
      <c r="AD9" s="102"/>
      <c r="AE9" s="102"/>
      <c r="AF9" s="102"/>
      <c r="AG9" s="157"/>
      <c r="AH9" s="30"/>
      <c r="AI9" s="31"/>
      <c r="AJ9" s="31"/>
      <c r="AK9" s="31"/>
      <c r="AL9" s="31"/>
      <c r="AM9" s="31"/>
      <c r="AN9" s="31"/>
      <c r="AO9" s="31"/>
      <c r="AP9" s="32"/>
      <c r="AQ9" s="14"/>
      <c r="AS9" s="15"/>
      <c r="AT9" s="70" t="s">
        <v>61</v>
      </c>
      <c r="AU9" s="70" t="s">
        <v>62</v>
      </c>
      <c r="BC9" s="15"/>
      <c r="BE9" s="70" t="str">
        <f>"■商品コード："&amp;BE16&amp;"（"&amp;I16&amp;"  "&amp;BE14&amp;"）"</f>
        <v>■商品コード：（  ）</v>
      </c>
      <c r="BF9" s="40"/>
      <c r="BG9" s="40"/>
    </row>
    <row r="10" spans="2:59" ht="5.0999999999999996" customHeight="1" x14ac:dyDescent="0.15">
      <c r="B10" s="10"/>
      <c r="AB10" s="70" t="s">
        <v>63</v>
      </c>
      <c r="AQ10" s="14"/>
      <c r="BC10" s="15"/>
      <c r="BE10" s="70" t="str">
        <f>"■納期："&amp;BH18&amp;"/"&amp;BI18&amp;"  "&amp;AH4&amp;"時  組検入れ"</f>
        <v>■納期：11/12  0時  組検入れ</v>
      </c>
      <c r="BF10" s="40"/>
      <c r="BG10" s="40"/>
    </row>
    <row r="11" spans="2:59" ht="18.75" customHeight="1" x14ac:dyDescent="0.4">
      <c r="B11" s="10"/>
      <c r="C11" s="126" t="s">
        <v>64</v>
      </c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27"/>
      <c r="S11" s="126" t="s">
        <v>65</v>
      </c>
      <c r="T11" s="133"/>
      <c r="U11" s="133"/>
      <c r="V11" s="133"/>
      <c r="W11" s="133"/>
      <c r="X11" s="133"/>
      <c r="Y11" s="133"/>
      <c r="Z11" s="133"/>
      <c r="AA11" s="133"/>
      <c r="AB11" s="133"/>
      <c r="AC11" s="133"/>
      <c r="AD11" s="133"/>
      <c r="AE11" s="133"/>
      <c r="AF11" s="133"/>
      <c r="AG11" s="133"/>
      <c r="AH11" s="127"/>
      <c r="AI11" s="128"/>
      <c r="AJ11" s="129"/>
      <c r="AK11" s="129"/>
      <c r="AL11" s="129"/>
      <c r="AM11" s="129"/>
      <c r="AN11" s="129"/>
      <c r="AO11" s="129"/>
      <c r="AQ11" s="14"/>
      <c r="AS11" s="15"/>
      <c r="BC11" s="15"/>
      <c r="BE11" s="70" t="str">
        <f>"■ラインコード："&amp;J7</f>
        <v>■ラインコード：</v>
      </c>
      <c r="BF11" s="40"/>
      <c r="BG11" s="40"/>
    </row>
    <row r="12" spans="2:59" x14ac:dyDescent="0.15">
      <c r="B12" s="10"/>
      <c r="C12" s="34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6"/>
      <c r="S12" s="34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6"/>
      <c r="AQ12" s="14"/>
      <c r="AS12" s="15"/>
      <c r="AT12" s="24"/>
      <c r="AU12" s="29"/>
      <c r="AV12" s="29"/>
      <c r="AW12" s="29"/>
      <c r="AX12" s="29"/>
      <c r="AY12" s="29"/>
      <c r="AZ12" s="29"/>
      <c r="BA12" s="29"/>
      <c r="BB12" s="29"/>
      <c r="BC12" s="25"/>
      <c r="BE12" s="70" t="str">
        <f>"先ほど"&amp;U16&amp;"入力をしましたので、生産・確定お願いします。"</f>
        <v>先ほど入力をしましたので、生産・確定お願いします。</v>
      </c>
      <c r="BF12" s="40"/>
      <c r="BG12" s="40"/>
    </row>
    <row r="13" spans="2:59" ht="14.25" customHeight="1" x14ac:dyDescent="0.15">
      <c r="B13" s="10"/>
      <c r="C13" s="142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0"/>
      <c r="P13" s="130"/>
      <c r="Q13" s="130"/>
      <c r="R13" s="130"/>
      <c r="S13" s="142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58"/>
      <c r="AI13" s="161"/>
      <c r="AJ13" s="124"/>
      <c r="AK13" s="124"/>
      <c r="AL13" s="124"/>
      <c r="AM13" s="124"/>
      <c r="AN13" s="124"/>
      <c r="AO13" s="124"/>
      <c r="AQ13" s="14"/>
      <c r="AS13" s="15"/>
      <c r="AT13" s="70" t="s">
        <v>66</v>
      </c>
      <c r="BD13" s="48"/>
      <c r="BE13" s="70" t="s">
        <v>67</v>
      </c>
      <c r="BF13" s="40"/>
      <c r="BG13" s="40"/>
    </row>
    <row r="14" spans="2:59" ht="14.25" customHeight="1" x14ac:dyDescent="0.15">
      <c r="B14" s="10"/>
      <c r="C14" s="143"/>
      <c r="D14" s="131"/>
      <c r="E14" s="131"/>
      <c r="F14" s="131"/>
      <c r="G14" s="131"/>
      <c r="H14" s="131"/>
      <c r="I14" s="131"/>
      <c r="J14" s="131"/>
      <c r="K14" s="131"/>
      <c r="L14" s="131"/>
      <c r="M14" s="131"/>
      <c r="N14" s="131"/>
      <c r="O14" s="131"/>
      <c r="P14" s="131"/>
      <c r="Q14" s="131"/>
      <c r="R14" s="131"/>
      <c r="S14" s="143"/>
      <c r="T14" s="131"/>
      <c r="U14" s="131"/>
      <c r="V14" s="131"/>
      <c r="W14" s="131"/>
      <c r="X14" s="131"/>
      <c r="Y14" s="131"/>
      <c r="Z14" s="131"/>
      <c r="AA14" s="131"/>
      <c r="AB14" s="131"/>
      <c r="AC14" s="131"/>
      <c r="AD14" s="131"/>
      <c r="AE14" s="131"/>
      <c r="AF14" s="131"/>
      <c r="AG14" s="131"/>
      <c r="AH14" s="159"/>
      <c r="AI14" s="124"/>
      <c r="AJ14" s="124"/>
      <c r="AK14" s="124"/>
      <c r="AL14" s="124"/>
      <c r="AM14" s="124"/>
      <c r="AN14" s="124"/>
      <c r="AO14" s="124"/>
      <c r="AQ14" s="14"/>
      <c r="AS14" s="15"/>
      <c r="BC14" s="15"/>
      <c r="BE14" s="40" t="str">
        <f>IF(Q17=1,"①",IF(Q17=2,"②",IF(Q17=3,"③",IF(Q17=4,"④",IF(Q17=5,"⑤","")))))</f>
        <v/>
      </c>
      <c r="BF14" s="40"/>
      <c r="BG14" s="40"/>
    </row>
    <row r="15" spans="2:59" ht="18.75" customHeight="1" x14ac:dyDescent="0.4">
      <c r="B15" s="10"/>
      <c r="C15" s="126"/>
      <c r="D15" s="133"/>
      <c r="E15" s="133"/>
      <c r="F15" s="133"/>
      <c r="G15" s="133"/>
      <c r="H15" s="127"/>
      <c r="I15" s="126" t="s">
        <v>68</v>
      </c>
      <c r="J15" s="133"/>
      <c r="K15" s="133"/>
      <c r="L15" s="133"/>
      <c r="M15" s="133"/>
      <c r="N15" s="133"/>
      <c r="O15" s="133"/>
      <c r="P15" s="127"/>
      <c r="Q15" s="126" t="s">
        <v>69</v>
      </c>
      <c r="R15" s="133"/>
      <c r="S15" s="127"/>
      <c r="AQ15" s="14"/>
      <c r="AS15" s="15"/>
      <c r="AT15" s="24"/>
      <c r="AU15" s="29"/>
      <c r="AV15" s="29"/>
      <c r="AW15" s="29"/>
      <c r="AX15" s="29"/>
      <c r="AY15" s="29"/>
      <c r="AZ15" s="29"/>
      <c r="BA15" s="29"/>
      <c r="BB15" s="29"/>
      <c r="BC15" s="25"/>
      <c r="BE15" s="40"/>
      <c r="BF15" s="40"/>
      <c r="BG15" s="40"/>
    </row>
    <row r="16" spans="2:59" ht="14.25" customHeight="1" x14ac:dyDescent="0.4">
      <c r="B16" s="10"/>
      <c r="C16" s="37"/>
      <c r="D16" s="38"/>
      <c r="E16" s="38"/>
      <c r="F16" s="38"/>
      <c r="G16" s="38"/>
      <c r="H16" s="39"/>
      <c r="I16" s="154"/>
      <c r="J16" s="146"/>
      <c r="K16" s="146"/>
      <c r="L16" s="146"/>
      <c r="M16" s="146"/>
      <c r="N16" s="146"/>
      <c r="O16" s="146"/>
      <c r="P16" s="147"/>
      <c r="Q16" s="171"/>
      <c r="R16" s="172"/>
      <c r="S16" s="173"/>
      <c r="U16" s="153"/>
      <c r="V16" s="129"/>
      <c r="W16" s="129"/>
      <c r="X16" s="40"/>
      <c r="AQ16" s="14"/>
      <c r="AT16" s="33" t="s">
        <v>70</v>
      </c>
      <c r="AU16" s="40"/>
      <c r="AV16" s="40"/>
      <c r="AW16" s="40"/>
      <c r="AX16" s="40"/>
      <c r="AY16" s="40"/>
      <c r="AZ16" s="40"/>
      <c r="BA16" s="40"/>
      <c r="BB16" s="40"/>
      <c r="BC16" s="15"/>
      <c r="BE16" s="40" t="str">
        <f>C13&amp;D13&amp;E13&amp;F13&amp;G13&amp;H13&amp;I13&amp;J13&amp;K13&amp;L13&amp;M13&amp;N13&amp;O13&amp;P13</f>
        <v/>
      </c>
      <c r="BF16" s="40"/>
      <c r="BG16" s="40"/>
    </row>
    <row r="17" spans="2:68" ht="14.25" customHeight="1" x14ac:dyDescent="0.15">
      <c r="B17" s="10"/>
      <c r="C17" s="142"/>
      <c r="D17" s="130"/>
      <c r="E17" s="130"/>
      <c r="F17" s="130"/>
      <c r="G17" s="130" t="s">
        <v>71</v>
      </c>
      <c r="H17" s="158"/>
      <c r="I17" s="125"/>
      <c r="J17" s="124"/>
      <c r="K17" s="124"/>
      <c r="L17" s="124"/>
      <c r="M17" s="124"/>
      <c r="N17" s="124"/>
      <c r="O17" s="124"/>
      <c r="P17" s="155"/>
      <c r="Q17" s="168">
        <v>0</v>
      </c>
      <c r="R17" s="124"/>
      <c r="S17" s="155"/>
      <c r="U17" s="129"/>
      <c r="V17" s="129"/>
      <c r="W17" s="129"/>
      <c r="X17" s="40" t="s">
        <v>72</v>
      </c>
      <c r="AQ17" s="14"/>
      <c r="AT17" s="33"/>
      <c r="AU17" s="40"/>
      <c r="AV17" s="40"/>
      <c r="AW17" s="40"/>
      <c r="AX17" s="40"/>
      <c r="AY17" s="40"/>
      <c r="AZ17" s="40"/>
      <c r="BA17" s="40"/>
      <c r="BB17" s="40"/>
      <c r="BC17" s="15"/>
      <c r="BE17" s="40">
        <f>AI13</f>
        <v>0</v>
      </c>
      <c r="BF17" s="40"/>
      <c r="BG17" s="40"/>
    </row>
    <row r="18" spans="2:68" ht="14.25" customHeight="1" x14ac:dyDescent="0.15">
      <c r="B18" s="10"/>
      <c r="C18" s="143"/>
      <c r="D18" s="131"/>
      <c r="E18" s="131"/>
      <c r="F18" s="131"/>
      <c r="G18" s="131"/>
      <c r="H18" s="159"/>
      <c r="I18" s="156"/>
      <c r="J18" s="102"/>
      <c r="K18" s="102"/>
      <c r="L18" s="102"/>
      <c r="M18" s="102"/>
      <c r="N18" s="102"/>
      <c r="O18" s="102"/>
      <c r="P18" s="157"/>
      <c r="Q18" s="156"/>
      <c r="R18" s="102"/>
      <c r="S18" s="157"/>
      <c r="U18" s="129"/>
      <c r="V18" s="129"/>
      <c r="W18" s="129"/>
      <c r="X18" s="40"/>
      <c r="AQ18" s="14"/>
      <c r="AT18" s="33" t="s">
        <v>73</v>
      </c>
      <c r="BC18" s="15"/>
      <c r="BE18" s="166">
        <f>AB4</f>
        <v>45608</v>
      </c>
      <c r="BF18" s="129"/>
      <c r="BG18" s="129"/>
      <c r="BH18" s="70">
        <f>MONTH(BE18)</f>
        <v>11</v>
      </c>
      <c r="BI18" s="70">
        <f>DAY(BE18)</f>
        <v>12</v>
      </c>
      <c r="BO18" s="58" t="str">
        <f>IF(COUNTIF(BO20:BO51,AB6),"あり","なし")</f>
        <v>なし</v>
      </c>
    </row>
    <row r="19" spans="2:68" ht="5.0999999999999996" customHeight="1" thickBot="1" x14ac:dyDescent="0.2">
      <c r="B19" s="10"/>
      <c r="AQ19" s="14"/>
      <c r="AT19" s="145"/>
      <c r="AU19" s="146"/>
      <c r="AV19" s="146"/>
      <c r="AW19" s="146"/>
      <c r="AX19" s="146"/>
      <c r="AY19" s="146"/>
      <c r="AZ19" s="146"/>
      <c r="BA19" s="146"/>
      <c r="BB19" s="147"/>
      <c r="BC19" s="15"/>
      <c r="BE19" s="40"/>
      <c r="BF19" s="40"/>
      <c r="BG19" s="40"/>
    </row>
    <row r="20" spans="2:68" ht="15" customHeight="1" thickTop="1" x14ac:dyDescent="0.4">
      <c r="B20" s="10"/>
      <c r="C20" s="165" t="s">
        <v>74</v>
      </c>
      <c r="D20" s="135"/>
      <c r="E20" s="135"/>
      <c r="F20" s="135"/>
      <c r="G20" s="135"/>
      <c r="H20" s="135"/>
      <c r="I20" s="136"/>
      <c r="K20" s="126" t="s">
        <v>75</v>
      </c>
      <c r="L20" s="133"/>
      <c r="M20" s="133"/>
      <c r="N20" s="127"/>
      <c r="O20" s="126" t="s">
        <v>76</v>
      </c>
      <c r="P20" s="133"/>
      <c r="Q20" s="133"/>
      <c r="R20" s="127"/>
      <c r="S20" s="126" t="s">
        <v>77</v>
      </c>
      <c r="T20" s="133"/>
      <c r="U20" s="133"/>
      <c r="V20" s="127"/>
      <c r="W20" s="126" t="s">
        <v>78</v>
      </c>
      <c r="X20" s="133"/>
      <c r="Y20" s="133"/>
      <c r="Z20" s="127"/>
      <c r="AA20" s="128"/>
      <c r="AB20" s="129"/>
      <c r="AC20" s="129"/>
      <c r="AD20" s="129"/>
      <c r="AQ20" s="14"/>
      <c r="AT20" s="148"/>
      <c r="AU20" s="149"/>
      <c r="AV20" s="149"/>
      <c r="AW20" s="149"/>
      <c r="AX20" s="149"/>
      <c r="AY20" s="149"/>
      <c r="AZ20" s="149"/>
      <c r="BA20" s="149"/>
      <c r="BB20" s="150"/>
      <c r="BC20" s="25"/>
      <c r="BO20" s="41">
        <f t="shared" ref="BO20:BO51" si="0">BP20-DAY(1)</f>
        <v>44502</v>
      </c>
      <c r="BP20" s="41">
        <v>44503</v>
      </c>
    </row>
    <row r="21" spans="2:68" x14ac:dyDescent="0.4">
      <c r="B21" s="10"/>
      <c r="C21" s="137"/>
      <c r="D21" s="129"/>
      <c r="E21" s="129"/>
      <c r="F21" s="129"/>
      <c r="G21" s="129"/>
      <c r="H21" s="129"/>
      <c r="I21" s="138"/>
      <c r="K21" s="126"/>
      <c r="L21" s="80"/>
      <c r="M21" s="80"/>
      <c r="N21" s="81"/>
      <c r="O21" s="152"/>
      <c r="P21" s="80"/>
      <c r="Q21" s="80"/>
      <c r="R21" s="81"/>
      <c r="S21" s="151"/>
      <c r="T21" s="80"/>
      <c r="U21" s="80"/>
      <c r="V21" s="81"/>
      <c r="W21" s="151"/>
      <c r="X21" s="80"/>
      <c r="Y21" s="80"/>
      <c r="Z21" s="81"/>
      <c r="AA21" s="128"/>
      <c r="AB21" s="129"/>
      <c r="AC21" s="129"/>
      <c r="AD21" s="129"/>
      <c r="AQ21" s="14"/>
      <c r="BE21" s="70" t="s">
        <v>79</v>
      </c>
      <c r="BO21" s="41">
        <f t="shared" si="0"/>
        <v>44522</v>
      </c>
      <c r="BP21" s="41">
        <v>44523</v>
      </c>
    </row>
    <row r="22" spans="2:68" x14ac:dyDescent="0.4">
      <c r="B22" s="10"/>
      <c r="C22" s="137"/>
      <c r="D22" s="129"/>
      <c r="E22" s="129"/>
      <c r="F22" s="129"/>
      <c r="G22" s="129"/>
      <c r="H22" s="129"/>
      <c r="I22" s="138"/>
      <c r="K22" s="109"/>
      <c r="L22" s="129"/>
      <c r="M22" s="129"/>
      <c r="N22" s="105"/>
      <c r="O22" s="109"/>
      <c r="P22" s="129"/>
      <c r="Q22" s="129"/>
      <c r="R22" s="105"/>
      <c r="S22" s="109"/>
      <c r="T22" s="129"/>
      <c r="U22" s="129"/>
      <c r="V22" s="105"/>
      <c r="W22" s="109"/>
      <c r="X22" s="129"/>
      <c r="Y22" s="129"/>
      <c r="Z22" s="105"/>
      <c r="AA22" s="129"/>
      <c r="AB22" s="129"/>
      <c r="AC22" s="129"/>
      <c r="AD22" s="129"/>
      <c r="AQ22" s="14"/>
      <c r="BO22" s="41">
        <f t="shared" si="0"/>
        <v>44559</v>
      </c>
      <c r="BP22" s="41">
        <v>44560</v>
      </c>
    </row>
    <row r="23" spans="2:68" ht="15" customHeight="1" thickBot="1" x14ac:dyDescent="0.45">
      <c r="B23" s="10"/>
      <c r="C23" s="139"/>
      <c r="D23" s="140"/>
      <c r="E23" s="140"/>
      <c r="F23" s="140"/>
      <c r="G23" s="140"/>
      <c r="H23" s="140"/>
      <c r="I23" s="141"/>
      <c r="K23" s="82"/>
      <c r="L23" s="83"/>
      <c r="M23" s="83"/>
      <c r="N23" s="84"/>
      <c r="O23" s="82"/>
      <c r="P23" s="83"/>
      <c r="Q23" s="83"/>
      <c r="R23" s="84"/>
      <c r="S23" s="82"/>
      <c r="T23" s="83"/>
      <c r="U23" s="83"/>
      <c r="V23" s="84"/>
      <c r="W23" s="82"/>
      <c r="X23" s="83"/>
      <c r="Y23" s="83"/>
      <c r="Z23" s="84"/>
      <c r="AA23" s="129"/>
      <c r="AB23" s="129"/>
      <c r="AC23" s="129"/>
      <c r="AD23" s="129"/>
      <c r="AQ23" s="14"/>
      <c r="BO23" s="41">
        <f t="shared" si="0"/>
        <v>44560</v>
      </c>
      <c r="BP23" s="41">
        <v>44561</v>
      </c>
    </row>
    <row r="24" spans="2:68" ht="5.0999999999999996" customHeight="1" thickTop="1" x14ac:dyDescent="0.4">
      <c r="B24" s="10"/>
      <c r="AQ24" s="14"/>
      <c r="BO24" s="41">
        <f t="shared" si="0"/>
        <v>44563</v>
      </c>
      <c r="BP24" s="41">
        <v>44564</v>
      </c>
    </row>
    <row r="25" spans="2:68" ht="18.75" customHeight="1" x14ac:dyDescent="0.4">
      <c r="B25" s="10"/>
      <c r="C25" s="126"/>
      <c r="D25" s="127"/>
      <c r="E25" s="132" t="s">
        <v>80</v>
      </c>
      <c r="F25" s="133"/>
      <c r="G25" s="133"/>
      <c r="H25" s="133"/>
      <c r="I25" s="133"/>
      <c r="J25" s="133"/>
      <c r="K25" s="133"/>
      <c r="L25" s="133"/>
      <c r="M25" s="133"/>
      <c r="N25" s="133"/>
      <c r="O25" s="127"/>
      <c r="P25" s="126" t="s">
        <v>81</v>
      </c>
      <c r="Q25" s="133"/>
      <c r="R25" s="133"/>
      <c r="S25" s="133"/>
      <c r="T25" s="133"/>
      <c r="U25" s="127"/>
      <c r="V25" s="126" t="s">
        <v>82</v>
      </c>
      <c r="W25" s="133"/>
      <c r="X25" s="127"/>
      <c r="AG25" s="69"/>
      <c r="AH25" s="126" t="s">
        <v>83</v>
      </c>
      <c r="AI25" s="133"/>
      <c r="AJ25" s="127"/>
      <c r="AK25" s="144" t="s">
        <v>84</v>
      </c>
      <c r="AL25" s="133"/>
      <c r="AM25" s="133"/>
      <c r="AN25" s="126" t="s">
        <v>85</v>
      </c>
      <c r="AO25" s="133"/>
      <c r="AP25" s="127"/>
      <c r="AQ25" s="14"/>
      <c r="BO25" s="41">
        <f t="shared" si="0"/>
        <v>44564</v>
      </c>
      <c r="BP25" s="41">
        <v>44565</v>
      </c>
    </row>
    <row r="26" spans="2:68" ht="18.75" customHeight="1" x14ac:dyDescent="0.4">
      <c r="B26" s="10"/>
      <c r="C26" s="126" t="s">
        <v>86</v>
      </c>
      <c r="D26" s="127"/>
      <c r="E26" s="132" t="s">
        <v>87</v>
      </c>
      <c r="F26" s="133"/>
      <c r="G26" s="133"/>
      <c r="H26" s="133"/>
      <c r="I26" s="133"/>
      <c r="J26" s="133"/>
      <c r="K26" s="133"/>
      <c r="L26" s="133"/>
      <c r="M26" s="133"/>
      <c r="N26" s="133"/>
      <c r="O26" s="127"/>
      <c r="P26" s="126" t="s">
        <v>88</v>
      </c>
      <c r="Q26" s="133"/>
      <c r="R26" s="133"/>
      <c r="S26" s="133"/>
      <c r="T26" s="133"/>
      <c r="U26" s="127"/>
      <c r="V26" s="126" t="s">
        <v>89</v>
      </c>
      <c r="W26" s="133"/>
      <c r="X26" s="127"/>
      <c r="AG26" s="69" t="s">
        <v>40</v>
      </c>
      <c r="AH26" s="126"/>
      <c r="AI26" s="80"/>
      <c r="AJ26" s="81"/>
      <c r="AK26" s="144"/>
      <c r="AL26" s="133"/>
      <c r="AM26" s="133"/>
      <c r="AN26" s="126"/>
      <c r="AO26" s="80"/>
      <c r="AP26" s="81"/>
      <c r="AQ26" s="14"/>
      <c r="BE26" s="59" t="s">
        <v>90</v>
      </c>
      <c r="BF26" s="74">
        <f>IF(AB6="","",IF(AF8="東物",WORKDAY(AB6,-1,BP18:BP53),AB6))</f>
        <v>45614</v>
      </c>
      <c r="BO26" s="41">
        <f t="shared" si="0"/>
        <v>44570</v>
      </c>
      <c r="BP26" s="41">
        <v>44571</v>
      </c>
    </row>
    <row r="27" spans="2:68" ht="18.75" customHeight="1" x14ac:dyDescent="0.4">
      <c r="B27" s="10"/>
      <c r="C27" s="126" t="s">
        <v>86</v>
      </c>
      <c r="D27" s="127"/>
      <c r="E27" s="132" t="s">
        <v>91</v>
      </c>
      <c r="F27" s="133"/>
      <c r="G27" s="133"/>
      <c r="H27" s="133"/>
      <c r="I27" s="133"/>
      <c r="J27" s="133"/>
      <c r="K27" s="133"/>
      <c r="L27" s="133"/>
      <c r="M27" s="133"/>
      <c r="N27" s="133"/>
      <c r="O27" s="127"/>
      <c r="P27" s="126" t="s">
        <v>92</v>
      </c>
      <c r="Q27" s="133"/>
      <c r="R27" s="133"/>
      <c r="S27" s="133"/>
      <c r="T27" s="133"/>
      <c r="U27" s="127"/>
      <c r="V27" s="126" t="s">
        <v>89</v>
      </c>
      <c r="W27" s="133"/>
      <c r="X27" s="127"/>
      <c r="AG27" s="69" t="s">
        <v>93</v>
      </c>
      <c r="AH27" s="109"/>
      <c r="AI27" s="129"/>
      <c r="AJ27" s="105"/>
      <c r="AK27" s="144"/>
      <c r="AL27" s="133"/>
      <c r="AM27" s="133"/>
      <c r="AN27" s="109"/>
      <c r="AO27" s="129"/>
      <c r="AP27" s="105"/>
      <c r="AQ27" s="14"/>
      <c r="BE27" s="59" t="s">
        <v>94</v>
      </c>
      <c r="BF27" s="74" t="str">
        <f>IF(AF8="","",IF(AF8="東物",WORKDAY(AB6,1,BP18:BP53),IF(AF8="関物",IF(BO18="あり",WORKDAY(AB6,1,BP18:BP53),WORKDAY(AB6,2,BP18:BP53)),IF(AF8="近物",IF(BO18="あり",WORKDAY(AB6,2,BP18:BP53),WORKDAY(AB6,3,BP18:BP53)),IF(AF8="岡物",IF(BO18="あり",WORKDAY(AB6,2,BP18:BP53),WORKDAY(AB6,3,BP18:BP53)),IF(BO18="あり",WORKDAY(AB6,3,BP18:BP53),WORKDAY(AB6,4,BP18:BP53)))))))</f>
        <v/>
      </c>
      <c r="BO27" s="41">
        <f t="shared" si="0"/>
        <v>44602</v>
      </c>
      <c r="BP27" s="41">
        <v>44603</v>
      </c>
    </row>
    <row r="28" spans="2:68" ht="18.75" customHeight="1" x14ac:dyDescent="0.4">
      <c r="B28" s="10"/>
      <c r="C28" s="126" t="s">
        <v>86</v>
      </c>
      <c r="D28" s="127"/>
      <c r="E28" s="132" t="s">
        <v>95</v>
      </c>
      <c r="F28" s="133"/>
      <c r="G28" s="133"/>
      <c r="H28" s="133"/>
      <c r="I28" s="133"/>
      <c r="J28" s="133"/>
      <c r="K28" s="133"/>
      <c r="L28" s="133"/>
      <c r="M28" s="133"/>
      <c r="N28" s="133"/>
      <c r="O28" s="127"/>
      <c r="P28" s="126" t="s">
        <v>96</v>
      </c>
      <c r="Q28" s="133"/>
      <c r="R28" s="133"/>
      <c r="S28" s="133"/>
      <c r="T28" s="133"/>
      <c r="U28" s="127"/>
      <c r="V28" s="126" t="s">
        <v>89</v>
      </c>
      <c r="W28" s="133"/>
      <c r="X28" s="127"/>
      <c r="AG28" s="69" t="s">
        <v>61</v>
      </c>
      <c r="AH28" s="82"/>
      <c r="AI28" s="83"/>
      <c r="AJ28" s="84"/>
      <c r="AK28" s="144"/>
      <c r="AL28" s="133"/>
      <c r="AM28" s="133"/>
      <c r="AN28" s="82"/>
      <c r="AO28" s="83"/>
      <c r="AP28" s="84"/>
      <c r="AQ28" s="14"/>
      <c r="BO28" s="41">
        <f t="shared" si="0"/>
        <v>44614</v>
      </c>
      <c r="BP28" s="41">
        <v>44615</v>
      </c>
    </row>
    <row r="29" spans="2:68" ht="18.75" customHeight="1" x14ac:dyDescent="0.4">
      <c r="B29" s="10"/>
      <c r="C29" s="126" t="s">
        <v>86</v>
      </c>
      <c r="D29" s="127"/>
      <c r="E29" s="132" t="s">
        <v>97</v>
      </c>
      <c r="F29" s="133"/>
      <c r="G29" s="133"/>
      <c r="H29" s="133"/>
      <c r="I29" s="133"/>
      <c r="J29" s="133"/>
      <c r="K29" s="133"/>
      <c r="L29" s="133"/>
      <c r="M29" s="133"/>
      <c r="N29" s="133"/>
      <c r="O29" s="127"/>
      <c r="P29" s="126" t="s">
        <v>96</v>
      </c>
      <c r="Q29" s="133"/>
      <c r="R29" s="133"/>
      <c r="S29" s="133"/>
      <c r="T29" s="133"/>
      <c r="U29" s="127"/>
      <c r="V29" s="126" t="s">
        <v>89</v>
      </c>
      <c r="W29" s="133"/>
      <c r="X29" s="127"/>
      <c r="AG29" s="69" t="s">
        <v>98</v>
      </c>
      <c r="AH29" s="126"/>
      <c r="AI29" s="80"/>
      <c r="AJ29" s="81"/>
      <c r="AK29" s="144"/>
      <c r="AL29" s="133"/>
      <c r="AM29" s="133"/>
      <c r="AN29" s="126"/>
      <c r="AO29" s="80"/>
      <c r="AP29" s="81"/>
      <c r="AQ29" s="14"/>
      <c r="AT29" s="70" t="s">
        <v>99</v>
      </c>
      <c r="BO29" s="41">
        <f t="shared" si="0"/>
        <v>44640</v>
      </c>
      <c r="BP29" s="41">
        <v>44641</v>
      </c>
    </row>
    <row r="30" spans="2:68" ht="18.75" customHeight="1" x14ac:dyDescent="0.4">
      <c r="B30" s="10"/>
      <c r="C30" s="126" t="s">
        <v>86</v>
      </c>
      <c r="D30" s="127"/>
      <c r="E30" s="132" t="s">
        <v>100</v>
      </c>
      <c r="F30" s="133"/>
      <c r="G30" s="133"/>
      <c r="H30" s="133"/>
      <c r="I30" s="133"/>
      <c r="J30" s="133"/>
      <c r="K30" s="133"/>
      <c r="L30" s="133"/>
      <c r="M30" s="133"/>
      <c r="N30" s="133"/>
      <c r="O30" s="127"/>
      <c r="P30" s="126" t="s">
        <v>96</v>
      </c>
      <c r="Q30" s="133"/>
      <c r="R30" s="133"/>
      <c r="S30" s="133"/>
      <c r="T30" s="133"/>
      <c r="U30" s="127"/>
      <c r="V30" s="126" t="s">
        <v>89</v>
      </c>
      <c r="W30" s="133"/>
      <c r="X30" s="127"/>
      <c r="AG30" s="69" t="s">
        <v>101</v>
      </c>
      <c r="AH30" s="109"/>
      <c r="AI30" s="129"/>
      <c r="AJ30" s="105"/>
      <c r="AK30" s="144"/>
      <c r="AL30" s="133"/>
      <c r="AM30" s="133"/>
      <c r="AN30" s="109"/>
      <c r="AO30" s="129"/>
      <c r="AP30" s="105"/>
      <c r="AQ30" s="14"/>
      <c r="BE30" s="70" t="s">
        <v>102</v>
      </c>
      <c r="BO30" s="41">
        <f t="shared" si="0"/>
        <v>44679</v>
      </c>
      <c r="BP30" s="57">
        <v>44680</v>
      </c>
    </row>
    <row r="31" spans="2:68" ht="18.75" customHeight="1" x14ac:dyDescent="0.4">
      <c r="B31" s="10"/>
      <c r="C31" s="126" t="s">
        <v>103</v>
      </c>
      <c r="D31" s="127"/>
      <c r="E31" s="132" t="s">
        <v>104</v>
      </c>
      <c r="F31" s="133"/>
      <c r="G31" s="133"/>
      <c r="H31" s="133"/>
      <c r="I31" s="133"/>
      <c r="J31" s="133"/>
      <c r="K31" s="133"/>
      <c r="L31" s="133"/>
      <c r="M31" s="133"/>
      <c r="N31" s="133"/>
      <c r="O31" s="127"/>
      <c r="P31" s="126" t="s">
        <v>105</v>
      </c>
      <c r="Q31" s="133"/>
      <c r="R31" s="133"/>
      <c r="S31" s="133"/>
      <c r="T31" s="133"/>
      <c r="U31" s="127"/>
      <c r="V31" s="126" t="s">
        <v>89</v>
      </c>
      <c r="W31" s="133"/>
      <c r="X31" s="127"/>
      <c r="AG31" s="69" t="s">
        <v>106</v>
      </c>
      <c r="AH31" s="82"/>
      <c r="AI31" s="83"/>
      <c r="AJ31" s="84"/>
      <c r="AK31" s="144"/>
      <c r="AL31" s="133"/>
      <c r="AM31" s="133"/>
      <c r="AN31" s="82"/>
      <c r="AO31" s="83"/>
      <c r="AP31" s="84"/>
      <c r="AQ31" s="14"/>
      <c r="BE31" s="70" t="s">
        <v>107</v>
      </c>
      <c r="BO31" s="41">
        <f t="shared" si="0"/>
        <v>44683</v>
      </c>
      <c r="BP31" s="57">
        <v>44684</v>
      </c>
    </row>
    <row r="32" spans="2:68" ht="18.75" customHeight="1" x14ac:dyDescent="0.4">
      <c r="B32" s="10"/>
      <c r="C32" s="126" t="s">
        <v>103</v>
      </c>
      <c r="D32" s="127"/>
      <c r="E32" s="132" t="s">
        <v>108</v>
      </c>
      <c r="F32" s="133"/>
      <c r="G32" s="133"/>
      <c r="H32" s="133"/>
      <c r="I32" s="133"/>
      <c r="J32" s="133"/>
      <c r="K32" s="133"/>
      <c r="L32" s="133"/>
      <c r="M32" s="133"/>
      <c r="N32" s="133"/>
      <c r="O32" s="127"/>
      <c r="P32" s="126" t="s">
        <v>109</v>
      </c>
      <c r="Q32" s="133"/>
      <c r="R32" s="133"/>
      <c r="S32" s="133"/>
      <c r="T32" s="133"/>
      <c r="U32" s="127"/>
      <c r="V32" s="126" t="s">
        <v>89</v>
      </c>
      <c r="W32" s="133"/>
      <c r="X32" s="127"/>
      <c r="AG32" s="69" t="s">
        <v>110</v>
      </c>
      <c r="AH32" s="126"/>
      <c r="AI32" s="80"/>
      <c r="AJ32" s="81"/>
      <c r="AK32" s="144"/>
      <c r="AL32" s="133"/>
      <c r="AM32" s="133"/>
      <c r="AN32" s="126"/>
      <c r="AO32" s="80"/>
      <c r="AP32" s="81"/>
      <c r="AQ32" s="14"/>
      <c r="BO32" s="41">
        <f t="shared" si="0"/>
        <v>44684</v>
      </c>
      <c r="BP32" s="57">
        <v>44685</v>
      </c>
    </row>
    <row r="33" spans="2:68" ht="18.75" customHeight="1" x14ac:dyDescent="0.4">
      <c r="B33" s="10"/>
      <c r="C33" s="126" t="s">
        <v>103</v>
      </c>
      <c r="D33" s="127"/>
      <c r="E33" s="132" t="s">
        <v>111</v>
      </c>
      <c r="F33" s="133"/>
      <c r="G33" s="133"/>
      <c r="H33" s="133"/>
      <c r="I33" s="133"/>
      <c r="J33" s="133"/>
      <c r="K33" s="133"/>
      <c r="L33" s="133"/>
      <c r="M33" s="133"/>
      <c r="N33" s="133"/>
      <c r="O33" s="127"/>
      <c r="P33" s="126" t="s">
        <v>112</v>
      </c>
      <c r="Q33" s="133"/>
      <c r="R33" s="133"/>
      <c r="S33" s="133"/>
      <c r="T33" s="133"/>
      <c r="U33" s="127"/>
      <c r="V33" s="126" t="s">
        <v>89</v>
      </c>
      <c r="W33" s="133"/>
      <c r="X33" s="127"/>
      <c r="AG33" s="69"/>
      <c r="AH33" s="109"/>
      <c r="AI33" s="129"/>
      <c r="AJ33" s="105"/>
      <c r="AK33" s="72"/>
      <c r="AL33" s="61"/>
      <c r="AM33" s="61"/>
      <c r="AN33" s="109"/>
      <c r="AO33" s="129"/>
      <c r="AP33" s="105"/>
      <c r="AQ33" s="14"/>
      <c r="BO33" s="41">
        <f t="shared" si="0"/>
        <v>44685</v>
      </c>
      <c r="BP33" s="57">
        <v>44686</v>
      </c>
    </row>
    <row r="34" spans="2:68" ht="18.75" customHeight="1" x14ac:dyDescent="0.4">
      <c r="B34" s="10"/>
      <c r="C34" s="126" t="s">
        <v>103</v>
      </c>
      <c r="D34" s="127"/>
      <c r="E34" s="132" t="s">
        <v>113</v>
      </c>
      <c r="F34" s="133"/>
      <c r="G34" s="133"/>
      <c r="H34" s="133"/>
      <c r="I34" s="133"/>
      <c r="J34" s="133"/>
      <c r="K34" s="133"/>
      <c r="L34" s="133"/>
      <c r="M34" s="133"/>
      <c r="N34" s="133"/>
      <c r="O34" s="127"/>
      <c r="P34" s="126" t="s">
        <v>92</v>
      </c>
      <c r="Q34" s="133"/>
      <c r="R34" s="133"/>
      <c r="S34" s="133"/>
      <c r="T34" s="133"/>
      <c r="U34" s="127"/>
      <c r="V34" s="126" t="s">
        <v>89</v>
      </c>
      <c r="W34" s="133"/>
      <c r="X34" s="127"/>
      <c r="AG34" s="69" t="s">
        <v>114</v>
      </c>
      <c r="AH34" s="109"/>
      <c r="AI34" s="129"/>
      <c r="AJ34" s="105"/>
      <c r="AK34" s="144"/>
      <c r="AL34" s="133"/>
      <c r="AM34" s="133"/>
      <c r="AN34" s="109"/>
      <c r="AO34" s="129"/>
      <c r="AP34" s="105"/>
      <c r="AQ34" s="14"/>
      <c r="BO34" s="41">
        <f t="shared" si="0"/>
        <v>44759</v>
      </c>
      <c r="BP34" s="41">
        <v>44760</v>
      </c>
    </row>
    <row r="35" spans="2:68" ht="18.75" customHeight="1" x14ac:dyDescent="0.4">
      <c r="B35" s="10"/>
      <c r="C35" s="126" t="s">
        <v>103</v>
      </c>
      <c r="D35" s="127"/>
      <c r="E35" s="132" t="s">
        <v>115</v>
      </c>
      <c r="F35" s="133"/>
      <c r="G35" s="133"/>
      <c r="H35" s="133"/>
      <c r="I35" s="133"/>
      <c r="J35" s="133"/>
      <c r="K35" s="133"/>
      <c r="L35" s="133"/>
      <c r="M35" s="133"/>
      <c r="N35" s="133"/>
      <c r="O35" s="127"/>
      <c r="P35" s="126" t="s">
        <v>116</v>
      </c>
      <c r="Q35" s="133"/>
      <c r="R35" s="133"/>
      <c r="S35" s="133"/>
      <c r="T35" s="133"/>
      <c r="U35" s="127"/>
      <c r="V35" s="126" t="s">
        <v>89</v>
      </c>
      <c r="W35" s="133"/>
      <c r="X35" s="127"/>
      <c r="AG35" s="69" t="s">
        <v>117</v>
      </c>
      <c r="AH35" s="82"/>
      <c r="AI35" s="83"/>
      <c r="AJ35" s="84"/>
      <c r="AK35" s="144"/>
      <c r="AL35" s="133"/>
      <c r="AM35" s="133"/>
      <c r="AN35" s="82"/>
      <c r="AO35" s="83"/>
      <c r="AP35" s="84"/>
      <c r="AQ35" s="14"/>
      <c r="BO35" s="41">
        <f t="shared" si="0"/>
        <v>44783</v>
      </c>
      <c r="BP35" s="57">
        <v>44784</v>
      </c>
    </row>
    <row r="36" spans="2:68" ht="18.75" customHeight="1" x14ac:dyDescent="0.4">
      <c r="B36" s="10"/>
      <c r="C36" s="126" t="s">
        <v>103</v>
      </c>
      <c r="D36" s="127"/>
      <c r="E36" s="132" t="s">
        <v>118</v>
      </c>
      <c r="F36" s="133"/>
      <c r="G36" s="133"/>
      <c r="H36" s="133"/>
      <c r="I36" s="133"/>
      <c r="J36" s="133"/>
      <c r="K36" s="133"/>
      <c r="L36" s="133"/>
      <c r="M36" s="133"/>
      <c r="N36" s="133"/>
      <c r="O36" s="127"/>
      <c r="P36" s="126" t="s">
        <v>119</v>
      </c>
      <c r="Q36" s="133"/>
      <c r="R36" s="133"/>
      <c r="S36" s="133"/>
      <c r="T36" s="133"/>
      <c r="U36" s="127"/>
      <c r="V36" s="126" t="s">
        <v>89</v>
      </c>
      <c r="W36" s="133"/>
      <c r="X36" s="127"/>
      <c r="AG36" s="69" t="s">
        <v>120</v>
      </c>
      <c r="AH36" s="126"/>
      <c r="AI36" s="80"/>
      <c r="AJ36" s="81"/>
      <c r="AK36" s="72"/>
      <c r="AL36" s="61"/>
      <c r="AM36" s="61"/>
      <c r="AN36" s="126"/>
      <c r="AO36" s="80"/>
      <c r="AP36" s="81"/>
      <c r="AQ36" s="14"/>
      <c r="BO36" s="41">
        <f t="shared" si="0"/>
        <v>44784</v>
      </c>
      <c r="BP36" s="57">
        <v>44785</v>
      </c>
    </row>
    <row r="37" spans="2:68" ht="18.75" customHeight="1" x14ac:dyDescent="0.4">
      <c r="B37" s="10"/>
      <c r="C37" s="126" t="s">
        <v>103</v>
      </c>
      <c r="D37" s="127"/>
      <c r="E37" s="132" t="s">
        <v>121</v>
      </c>
      <c r="F37" s="133"/>
      <c r="G37" s="133"/>
      <c r="H37" s="133"/>
      <c r="I37" s="133"/>
      <c r="J37" s="133"/>
      <c r="K37" s="133"/>
      <c r="L37" s="133"/>
      <c r="M37" s="133"/>
      <c r="N37" s="133"/>
      <c r="O37" s="127"/>
      <c r="P37" s="126" t="s">
        <v>122</v>
      </c>
      <c r="Q37" s="133"/>
      <c r="R37" s="133"/>
      <c r="S37" s="133"/>
      <c r="T37" s="133"/>
      <c r="U37" s="127"/>
      <c r="V37" s="126" t="s">
        <v>89</v>
      </c>
      <c r="W37" s="133"/>
      <c r="X37" s="127"/>
      <c r="AG37" s="69" t="s">
        <v>123</v>
      </c>
      <c r="AH37" s="109"/>
      <c r="AI37" s="129"/>
      <c r="AJ37" s="105"/>
      <c r="AK37" s="72"/>
      <c r="AL37" s="61"/>
      <c r="AM37" s="61"/>
      <c r="AN37" s="109"/>
      <c r="AO37" s="129"/>
      <c r="AP37" s="105"/>
      <c r="AQ37" s="14"/>
      <c r="AT37" s="70" t="s">
        <v>124</v>
      </c>
      <c r="BO37" s="41">
        <f t="shared" si="0"/>
        <v>44787</v>
      </c>
      <c r="BP37" s="57">
        <v>44788</v>
      </c>
    </row>
    <row r="38" spans="2:68" ht="18.75" customHeight="1" x14ac:dyDescent="0.4">
      <c r="B38" s="10"/>
      <c r="C38" s="126" t="s">
        <v>103</v>
      </c>
      <c r="D38" s="127"/>
      <c r="E38" s="63" t="s">
        <v>125</v>
      </c>
      <c r="F38" s="64"/>
      <c r="G38" s="64"/>
      <c r="H38" s="64"/>
      <c r="I38" s="64"/>
      <c r="J38" s="64"/>
      <c r="K38" s="64"/>
      <c r="L38" s="64"/>
      <c r="M38" s="64"/>
      <c r="N38" s="64"/>
      <c r="O38" s="65"/>
      <c r="P38" s="126" t="s">
        <v>126</v>
      </c>
      <c r="Q38" s="133"/>
      <c r="R38" s="133"/>
      <c r="S38" s="133"/>
      <c r="T38" s="133"/>
      <c r="U38" s="127"/>
      <c r="V38" s="126" t="s">
        <v>89</v>
      </c>
      <c r="W38" s="133"/>
      <c r="X38" s="127"/>
      <c r="AG38" s="69" t="s">
        <v>127</v>
      </c>
      <c r="AH38" s="82"/>
      <c r="AI38" s="83"/>
      <c r="AJ38" s="84"/>
      <c r="AK38" s="72"/>
      <c r="AL38" s="61"/>
      <c r="AM38" s="61"/>
      <c r="AN38" s="82"/>
      <c r="AO38" s="83"/>
      <c r="AP38" s="84"/>
      <c r="AQ38" s="14"/>
      <c r="BO38" s="41">
        <f t="shared" si="0"/>
        <v>44788</v>
      </c>
      <c r="BP38" s="57">
        <v>44789</v>
      </c>
    </row>
    <row r="39" spans="2:68" ht="18.75" customHeight="1" x14ac:dyDescent="0.4">
      <c r="B39" s="10"/>
      <c r="C39" s="126" t="s">
        <v>128</v>
      </c>
      <c r="D39" s="127"/>
      <c r="E39" s="132" t="s">
        <v>129</v>
      </c>
      <c r="F39" s="133"/>
      <c r="G39" s="133"/>
      <c r="H39" s="133"/>
      <c r="I39" s="133"/>
      <c r="J39" s="133"/>
      <c r="K39" s="133"/>
      <c r="L39" s="133"/>
      <c r="M39" s="133"/>
      <c r="N39" s="133"/>
      <c r="O39" s="127"/>
      <c r="P39" s="126" t="s">
        <v>96</v>
      </c>
      <c r="Q39" s="133"/>
      <c r="R39" s="133"/>
      <c r="S39" s="133"/>
      <c r="T39" s="133"/>
      <c r="U39" s="127"/>
      <c r="V39" s="126" t="s">
        <v>89</v>
      </c>
      <c r="W39" s="133"/>
      <c r="X39" s="127"/>
      <c r="AG39" s="71" t="s">
        <v>130</v>
      </c>
      <c r="AH39" s="126" t="s">
        <v>131</v>
      </c>
      <c r="AI39" s="80"/>
      <c r="AJ39" s="81"/>
      <c r="AK39" s="63"/>
      <c r="AL39" s="61"/>
      <c r="AM39" s="62"/>
      <c r="AN39" s="126"/>
      <c r="AO39" s="80"/>
      <c r="AP39" s="81"/>
      <c r="AQ39" s="14"/>
      <c r="BO39" s="41">
        <f t="shared" si="0"/>
        <v>44822</v>
      </c>
      <c r="BP39" s="57">
        <v>44823</v>
      </c>
    </row>
    <row r="40" spans="2:68" ht="18.75" customHeight="1" x14ac:dyDescent="0.4">
      <c r="B40" s="10"/>
      <c r="C40" s="126" t="s">
        <v>128</v>
      </c>
      <c r="D40" s="127"/>
      <c r="E40" s="132" t="s">
        <v>132</v>
      </c>
      <c r="F40" s="133"/>
      <c r="G40" s="133"/>
      <c r="H40" s="133"/>
      <c r="I40" s="133"/>
      <c r="J40" s="133"/>
      <c r="K40" s="133"/>
      <c r="L40" s="133"/>
      <c r="M40" s="133"/>
      <c r="N40" s="133"/>
      <c r="O40" s="127"/>
      <c r="P40" s="126" t="s">
        <v>96</v>
      </c>
      <c r="Q40" s="133"/>
      <c r="R40" s="133"/>
      <c r="S40" s="133"/>
      <c r="T40" s="133"/>
      <c r="U40" s="127"/>
      <c r="V40" s="126" t="s">
        <v>89</v>
      </c>
      <c r="W40" s="133"/>
      <c r="X40" s="127"/>
      <c r="AG40" s="71" t="s">
        <v>133</v>
      </c>
      <c r="AH40" s="82"/>
      <c r="AI40" s="83"/>
      <c r="AJ40" s="84"/>
      <c r="AK40" s="63"/>
      <c r="AL40" s="64"/>
      <c r="AM40" s="65"/>
      <c r="AN40" s="82"/>
      <c r="AO40" s="83"/>
      <c r="AP40" s="84"/>
      <c r="AQ40" s="14"/>
      <c r="BO40" s="41">
        <f t="shared" si="0"/>
        <v>44826</v>
      </c>
      <c r="BP40" s="41">
        <v>44827</v>
      </c>
    </row>
    <row r="41" spans="2:68" ht="18.75" customHeight="1" x14ac:dyDescent="0.4">
      <c r="B41" s="10"/>
      <c r="C41" s="126" t="s">
        <v>128</v>
      </c>
      <c r="D41" s="127"/>
      <c r="E41" s="132" t="s">
        <v>134</v>
      </c>
      <c r="F41" s="133"/>
      <c r="G41" s="133"/>
      <c r="H41" s="133"/>
      <c r="I41" s="133"/>
      <c r="J41" s="133"/>
      <c r="K41" s="133"/>
      <c r="L41" s="133"/>
      <c r="M41" s="133"/>
      <c r="N41" s="133"/>
      <c r="O41" s="127"/>
      <c r="P41" s="126" t="s">
        <v>96</v>
      </c>
      <c r="Q41" s="133"/>
      <c r="R41" s="133"/>
      <c r="S41" s="133"/>
      <c r="T41" s="133"/>
      <c r="U41" s="127"/>
      <c r="V41" s="126" t="s">
        <v>89</v>
      </c>
      <c r="W41" s="133"/>
      <c r="X41" s="127"/>
      <c r="AQ41" s="14"/>
      <c r="BO41" s="41">
        <f t="shared" si="0"/>
        <v>44843</v>
      </c>
      <c r="BP41" s="41">
        <v>44844</v>
      </c>
    </row>
    <row r="42" spans="2:68" ht="18.75" customHeight="1" x14ac:dyDescent="0.4">
      <c r="B42" s="10"/>
      <c r="C42" s="126" t="s">
        <v>128</v>
      </c>
      <c r="D42" s="127"/>
      <c r="E42" s="132" t="s">
        <v>135</v>
      </c>
      <c r="F42" s="133"/>
      <c r="G42" s="133"/>
      <c r="H42" s="133"/>
      <c r="I42" s="133"/>
      <c r="J42" s="133"/>
      <c r="K42" s="133"/>
      <c r="L42" s="133"/>
      <c r="M42" s="133"/>
      <c r="N42" s="133"/>
      <c r="O42" s="127"/>
      <c r="P42" s="126" t="s">
        <v>136</v>
      </c>
      <c r="Q42" s="133"/>
      <c r="R42" s="133"/>
      <c r="S42" s="133"/>
      <c r="T42" s="133"/>
      <c r="U42" s="127"/>
      <c r="V42" s="126" t="s">
        <v>89</v>
      </c>
      <c r="W42" s="133"/>
      <c r="X42" s="127"/>
      <c r="AQ42" s="14"/>
      <c r="BO42" s="41">
        <f t="shared" si="0"/>
        <v>44867</v>
      </c>
      <c r="BP42" s="41">
        <v>44868</v>
      </c>
    </row>
    <row r="43" spans="2:68" ht="18.75" customHeight="1" x14ac:dyDescent="0.4">
      <c r="B43" s="10"/>
      <c r="C43" s="126" t="s">
        <v>128</v>
      </c>
      <c r="D43" s="127"/>
      <c r="E43" s="132" t="s">
        <v>137</v>
      </c>
      <c r="F43" s="133"/>
      <c r="G43" s="133"/>
      <c r="H43" s="133"/>
      <c r="I43" s="133"/>
      <c r="J43" s="133"/>
      <c r="K43" s="133"/>
      <c r="L43" s="133"/>
      <c r="M43" s="133"/>
      <c r="N43" s="133"/>
      <c r="O43" s="127"/>
      <c r="P43" s="126" t="s">
        <v>96</v>
      </c>
      <c r="Q43" s="133"/>
      <c r="R43" s="133"/>
      <c r="S43" s="133"/>
      <c r="T43" s="133"/>
      <c r="U43" s="127"/>
      <c r="V43" s="126" t="s">
        <v>89</v>
      </c>
      <c r="W43" s="133"/>
      <c r="X43" s="127"/>
      <c r="AQ43" s="14"/>
      <c r="BO43" s="41">
        <f t="shared" si="0"/>
        <v>44887</v>
      </c>
      <c r="BP43" s="41">
        <v>44888</v>
      </c>
    </row>
    <row r="44" spans="2:68" ht="18.75" customHeight="1" x14ac:dyDescent="0.4">
      <c r="B44" s="10"/>
      <c r="C44" s="72"/>
      <c r="D44" s="61"/>
      <c r="E44" s="63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72"/>
      <c r="Q44" s="61"/>
      <c r="R44" s="61"/>
      <c r="S44" s="61"/>
      <c r="T44" s="61"/>
      <c r="U44" s="62"/>
      <c r="V44" s="126" t="s">
        <v>89</v>
      </c>
      <c r="W44" s="133"/>
      <c r="X44" s="127"/>
      <c r="AQ44" s="14"/>
      <c r="BO44" s="41">
        <f t="shared" si="0"/>
        <v>44924</v>
      </c>
      <c r="BP44" s="41">
        <v>44925</v>
      </c>
    </row>
    <row r="45" spans="2:68" x14ac:dyDescent="0.4">
      <c r="B45" s="10"/>
      <c r="C45" s="70" t="s">
        <v>138</v>
      </c>
      <c r="AQ45" s="14"/>
      <c r="BO45" s="41">
        <f t="shared" si="0"/>
        <v>44927</v>
      </c>
      <c r="BP45" s="41">
        <v>44928</v>
      </c>
    </row>
    <row r="46" spans="2:68" ht="5.0999999999999996" customHeight="1" thickBot="1" x14ac:dyDescent="0.45">
      <c r="B46" s="42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4"/>
      <c r="BO46" s="41">
        <f t="shared" si="0"/>
        <v>44928</v>
      </c>
      <c r="BP46" s="41">
        <v>44929</v>
      </c>
    </row>
    <row r="47" spans="2:68" ht="5.0999999999999996" customHeight="1" x14ac:dyDescent="0.4">
      <c r="BO47" s="41">
        <f t="shared" si="0"/>
        <v>44929</v>
      </c>
      <c r="BP47" s="41">
        <v>44930</v>
      </c>
    </row>
    <row r="48" spans="2:68" x14ac:dyDescent="0.15">
      <c r="BO48" s="41">
        <f t="shared" si="0"/>
        <v>44934</v>
      </c>
      <c r="BP48" s="57">
        <v>44935</v>
      </c>
    </row>
    <row r="49" spans="67:68" x14ac:dyDescent="0.15">
      <c r="BO49" s="41">
        <f t="shared" si="0"/>
        <v>44979</v>
      </c>
      <c r="BP49" s="57">
        <v>44980</v>
      </c>
    </row>
    <row r="50" spans="67:68" x14ac:dyDescent="0.15">
      <c r="BO50" s="41">
        <f t="shared" si="0"/>
        <v>45005</v>
      </c>
      <c r="BP50" s="57">
        <v>45006</v>
      </c>
    </row>
    <row r="51" spans="67:68" x14ac:dyDescent="0.4">
      <c r="BO51" s="41">
        <f t="shared" si="0"/>
        <v>-1</v>
      </c>
    </row>
    <row r="52" spans="67:68" x14ac:dyDescent="0.4">
      <c r="BO52" s="41">
        <f t="shared" ref="BO52:BO69" si="1">BP52-DAY(1)</f>
        <v>-1</v>
      </c>
    </row>
    <row r="53" spans="67:68" x14ac:dyDescent="0.4">
      <c r="BO53" s="41">
        <f t="shared" si="1"/>
        <v>-1</v>
      </c>
    </row>
    <row r="54" spans="67:68" x14ac:dyDescent="0.4">
      <c r="BO54" s="41">
        <f t="shared" si="1"/>
        <v>-1</v>
      </c>
    </row>
    <row r="55" spans="67:68" x14ac:dyDescent="0.4">
      <c r="BO55" s="41">
        <f t="shared" si="1"/>
        <v>-1</v>
      </c>
    </row>
    <row r="56" spans="67:68" x14ac:dyDescent="0.4">
      <c r="BO56" s="41">
        <f t="shared" si="1"/>
        <v>-1</v>
      </c>
    </row>
    <row r="57" spans="67:68" x14ac:dyDescent="0.4">
      <c r="BO57" s="41">
        <f t="shared" si="1"/>
        <v>-1</v>
      </c>
    </row>
    <row r="58" spans="67:68" x14ac:dyDescent="0.4">
      <c r="BO58" s="41">
        <f t="shared" si="1"/>
        <v>-1</v>
      </c>
    </row>
    <row r="59" spans="67:68" x14ac:dyDescent="0.4">
      <c r="BO59" s="41">
        <f t="shared" si="1"/>
        <v>-1</v>
      </c>
    </row>
    <row r="60" spans="67:68" x14ac:dyDescent="0.4">
      <c r="BO60" s="41">
        <f t="shared" si="1"/>
        <v>-1</v>
      </c>
    </row>
    <row r="61" spans="67:68" x14ac:dyDescent="0.4">
      <c r="BO61" s="41">
        <f t="shared" si="1"/>
        <v>-1</v>
      </c>
    </row>
    <row r="62" spans="67:68" x14ac:dyDescent="0.4">
      <c r="BO62" s="41">
        <f t="shared" si="1"/>
        <v>-1</v>
      </c>
    </row>
    <row r="63" spans="67:68" x14ac:dyDescent="0.4">
      <c r="BO63" s="41">
        <f t="shared" si="1"/>
        <v>-1</v>
      </c>
    </row>
    <row r="64" spans="67:68" x14ac:dyDescent="0.4">
      <c r="BO64" s="41">
        <f t="shared" si="1"/>
        <v>-1</v>
      </c>
    </row>
    <row r="65" spans="67:67" x14ac:dyDescent="0.4">
      <c r="BO65" s="41">
        <f t="shared" si="1"/>
        <v>-1</v>
      </c>
    </row>
    <row r="66" spans="67:67" x14ac:dyDescent="0.4">
      <c r="BO66" s="41">
        <f t="shared" si="1"/>
        <v>-1</v>
      </c>
    </row>
    <row r="67" spans="67:67" x14ac:dyDescent="0.4">
      <c r="BO67" s="41">
        <f t="shared" si="1"/>
        <v>-1</v>
      </c>
    </row>
    <row r="68" spans="67:67" x14ac:dyDescent="0.4">
      <c r="BO68" s="41">
        <f t="shared" si="1"/>
        <v>-1</v>
      </c>
    </row>
    <row r="69" spans="67:67" x14ac:dyDescent="0.4">
      <c r="BO69" s="41">
        <f t="shared" si="1"/>
        <v>-1</v>
      </c>
    </row>
  </sheetData>
  <mergeCells count="172">
    <mergeCell ref="C41:D41"/>
    <mergeCell ref="D13:D14"/>
    <mergeCell ref="AB8:AE9"/>
    <mergeCell ref="N13:N14"/>
    <mergeCell ref="P13:P14"/>
    <mergeCell ref="P33:U33"/>
    <mergeCell ref="C17:C18"/>
    <mergeCell ref="AH26:AJ28"/>
    <mergeCell ref="Z13:Z14"/>
    <mergeCell ref="AB13:AB14"/>
    <mergeCell ref="P26:U26"/>
    <mergeCell ref="Q16:S16"/>
    <mergeCell ref="P35:U35"/>
    <mergeCell ref="E26:O26"/>
    <mergeCell ref="AI11:AO11"/>
    <mergeCell ref="P43:U43"/>
    <mergeCell ref="V25:X25"/>
    <mergeCell ref="E40:O40"/>
    <mergeCell ref="AH25:AJ25"/>
    <mergeCell ref="R13:R14"/>
    <mergeCell ref="AN25:AP25"/>
    <mergeCell ref="AH32:AJ35"/>
    <mergeCell ref="AN26:AP28"/>
    <mergeCell ref="X3:Z3"/>
    <mergeCell ref="V39:X39"/>
    <mergeCell ref="Q15:S15"/>
    <mergeCell ref="V36:X36"/>
    <mergeCell ref="AK32:AM32"/>
    <mergeCell ref="BE18:BG18"/>
    <mergeCell ref="E36:O36"/>
    <mergeCell ref="C15:H15"/>
    <mergeCell ref="P29:U29"/>
    <mergeCell ref="AF4:AG5"/>
    <mergeCell ref="AB6:AE7"/>
    <mergeCell ref="J7:Z9"/>
    <mergeCell ref="W13:W14"/>
    <mergeCell ref="AK28:AM28"/>
    <mergeCell ref="C28:D28"/>
    <mergeCell ref="P31:U31"/>
    <mergeCell ref="Q17:S18"/>
    <mergeCell ref="AK25:AM25"/>
    <mergeCell ref="AN29:AP31"/>
    <mergeCell ref="AK30:AM30"/>
    <mergeCell ref="C30:D30"/>
    <mergeCell ref="AH29:AJ31"/>
    <mergeCell ref="E13:E14"/>
    <mergeCell ref="G13:G14"/>
    <mergeCell ref="D17:D18"/>
    <mergeCell ref="S20:V20"/>
    <mergeCell ref="AF8:AG9"/>
    <mergeCell ref="P32:U32"/>
    <mergeCell ref="M13:M14"/>
    <mergeCell ref="AF6:AG7"/>
    <mergeCell ref="AH39:AJ40"/>
    <mergeCell ref="AI13:AO14"/>
    <mergeCell ref="V29:X29"/>
    <mergeCell ref="C34:D34"/>
    <mergeCell ref="C29:D29"/>
    <mergeCell ref="S13:S14"/>
    <mergeCell ref="C7:I9"/>
    <mergeCell ref="U13:U14"/>
    <mergeCell ref="X4:Z6"/>
    <mergeCell ref="C31:D31"/>
    <mergeCell ref="Y13:Y14"/>
    <mergeCell ref="S11:AH11"/>
    <mergeCell ref="C32:D32"/>
    <mergeCell ref="C38:D38"/>
    <mergeCell ref="AB4:AE5"/>
    <mergeCell ref="V30:X30"/>
    <mergeCell ref="C20:I23"/>
    <mergeCell ref="AK26:AM26"/>
    <mergeCell ref="C26:D26"/>
    <mergeCell ref="F13:F14"/>
    <mergeCell ref="H13:H14"/>
    <mergeCell ref="E34:O34"/>
    <mergeCell ref="AK27:AM27"/>
    <mergeCell ref="V44:X44"/>
    <mergeCell ref="I15:P15"/>
    <mergeCell ref="V31:X31"/>
    <mergeCell ref="AN39:AP40"/>
    <mergeCell ref="V40:X40"/>
    <mergeCell ref="AA21:AD23"/>
    <mergeCell ref="U16:W18"/>
    <mergeCell ref="P39:U39"/>
    <mergeCell ref="E39:O39"/>
    <mergeCell ref="AK34:AM34"/>
    <mergeCell ref="AK29:AM29"/>
    <mergeCell ref="E29:O29"/>
    <mergeCell ref="P37:U37"/>
    <mergeCell ref="V32:X32"/>
    <mergeCell ref="F17:F18"/>
    <mergeCell ref="V26:X26"/>
    <mergeCell ref="E31:O31"/>
    <mergeCell ref="I16:P18"/>
    <mergeCell ref="AN32:AP35"/>
    <mergeCell ref="V43:X43"/>
    <mergeCell ref="O20:R20"/>
    <mergeCell ref="V33:X33"/>
    <mergeCell ref="V42:X42"/>
    <mergeCell ref="P41:U41"/>
    <mergeCell ref="E43:O43"/>
    <mergeCell ref="G17:G18"/>
    <mergeCell ref="L13:L14"/>
    <mergeCell ref="E17:E18"/>
    <mergeCell ref="AD13:AD14"/>
    <mergeCell ref="C33:D33"/>
    <mergeCell ref="AN36:AP38"/>
    <mergeCell ref="P27:U27"/>
    <mergeCell ref="V13:V14"/>
    <mergeCell ref="C42:D42"/>
    <mergeCell ref="W21:Z23"/>
    <mergeCell ref="P36:U36"/>
    <mergeCell ref="O21:R23"/>
    <mergeCell ref="E33:O33"/>
    <mergeCell ref="X13:X14"/>
    <mergeCell ref="E42:O42"/>
    <mergeCell ref="AF13:AF14"/>
    <mergeCell ref="P25:U25"/>
    <mergeCell ref="AH13:AH14"/>
    <mergeCell ref="E25:O25"/>
    <mergeCell ref="C43:D43"/>
    <mergeCell ref="P42:U42"/>
    <mergeCell ref="V37:X37"/>
    <mergeCell ref="S21:V23"/>
    <mergeCell ref="AH36:AJ38"/>
    <mergeCell ref="E28:O28"/>
    <mergeCell ref="P30:U30"/>
    <mergeCell ref="E30:O30"/>
    <mergeCell ref="AT19:BB20"/>
    <mergeCell ref="E41:O41"/>
    <mergeCell ref="V35:X35"/>
    <mergeCell ref="P34:U34"/>
    <mergeCell ref="C11:R11"/>
    <mergeCell ref="V34:X34"/>
    <mergeCell ref="J13:J14"/>
    <mergeCell ref="V28:X28"/>
    <mergeCell ref="C27:D27"/>
    <mergeCell ref="T13:T14"/>
    <mergeCell ref="K21:N23"/>
    <mergeCell ref="C36:D36"/>
    <mergeCell ref="E27:O27"/>
    <mergeCell ref="H17:H18"/>
    <mergeCell ref="V27:X27"/>
    <mergeCell ref="V41:X41"/>
    <mergeCell ref="AE13:AE14"/>
    <mergeCell ref="AK31:AM31"/>
    <mergeCell ref="AG13:AG14"/>
    <mergeCell ref="C40:D40"/>
    <mergeCell ref="AH4:AK6"/>
    <mergeCell ref="C37:D37"/>
    <mergeCell ref="AA20:AD20"/>
    <mergeCell ref="AA13:AA14"/>
    <mergeCell ref="E32:O32"/>
    <mergeCell ref="P40:U40"/>
    <mergeCell ref="AC13:AC14"/>
    <mergeCell ref="E37:O37"/>
    <mergeCell ref="I13:I14"/>
    <mergeCell ref="K20:N20"/>
    <mergeCell ref="K13:K14"/>
    <mergeCell ref="C3:V6"/>
    <mergeCell ref="W20:Z20"/>
    <mergeCell ref="C39:D39"/>
    <mergeCell ref="C13:C14"/>
    <mergeCell ref="P38:U38"/>
    <mergeCell ref="V38:X38"/>
    <mergeCell ref="O13:O14"/>
    <mergeCell ref="Q13:Q14"/>
    <mergeCell ref="AK35:AM35"/>
    <mergeCell ref="C35:D35"/>
    <mergeCell ref="E35:O35"/>
    <mergeCell ref="C25:D25"/>
    <mergeCell ref="P28:U28"/>
  </mergeCells>
  <phoneticPr fontId="4"/>
  <dataValidations count="6">
    <dataValidation type="list" allowBlank="1" showInputMessage="1" sqref="Q17:S18" xr:uid="{00000000-0002-0000-0200-000000000000}">
      <formula1>"1,2,3,4,5,6"</formula1>
    </dataValidation>
    <dataValidation type="list" allowBlank="1" showInputMessage="1" showErrorMessage="1" sqref="U16:W18" xr:uid="{00000000-0002-0000-0200-000001000000}">
      <formula1>"Ⓕ,Ⓗ"</formula1>
    </dataValidation>
    <dataValidation type="list" allowBlank="1" showInputMessage="1" sqref="AF8:AG9" xr:uid="{00000000-0002-0000-0200-000002000000}">
      <formula1>"北物,東物,関物,近物,岡物,九物"</formula1>
    </dataValidation>
    <dataValidation type="list" allowBlank="1" showInputMessage="1" sqref="X4:Z6" xr:uid="{00000000-0002-0000-0200-000003000000}">
      <formula1>"高崎,増尾,蓮池"</formula1>
    </dataValidation>
    <dataValidation type="list" allowBlank="1" showInputMessage="1" sqref="AF6:AG7" xr:uid="{00000000-0002-0000-0200-000004000000}">
      <formula1>"北物,小口"</formula1>
    </dataValidation>
    <dataValidation type="list" allowBlank="1" showInputMessage="1" sqref="AH4:AK6" xr:uid="{00000000-0002-0000-0200-000005000000}">
      <formula1>"14,16"</formula1>
    </dataValidation>
  </dataValidations>
  <pageMargins left="0.39370078740157483" right="0.39370078740157483" top="0.19685039370078741" bottom="0.19685039370078741" header="0" footer="0"/>
  <pageSetup paperSize="9" scale="94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3" name="Button 6">
              <controlPr defaultSize="0" print="0" autoFill="0" autoPict="0" macro="[0]!Sheet5.ライン選択">
                <anchor moveWithCells="1" sizeWithCells="1">
                  <from>
                    <xdr:col>49</xdr:col>
                    <xdr:colOff>228600</xdr:colOff>
                    <xdr:row>3</xdr:row>
                    <xdr:rowOff>85725</xdr:rowOff>
                  </from>
                  <to>
                    <xdr:col>54</xdr:col>
                    <xdr:colOff>123825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Sheet5.fbotan">
                <anchor moveWithCells="1" sizeWithCells="1">
                  <from>
                    <xdr:col>49</xdr:col>
                    <xdr:colOff>228600</xdr:colOff>
                    <xdr:row>6</xdr:row>
                    <xdr:rowOff>28575</xdr:rowOff>
                  </from>
                  <to>
                    <xdr:col>52</xdr:col>
                    <xdr:colOff>28575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Button 8">
              <controlPr defaultSize="0" print="0" autoFill="0" autoPict="0" macro="[0]!Sheet5.hbotan">
                <anchor moveWithCells="1" sizeWithCells="1">
                  <from>
                    <xdr:col>52</xdr:col>
                    <xdr:colOff>104775</xdr:colOff>
                    <xdr:row>6</xdr:row>
                    <xdr:rowOff>28575</xdr:rowOff>
                  </from>
                  <to>
                    <xdr:col>54</xdr:col>
                    <xdr:colOff>123825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6" name="Button 9">
              <controlPr defaultSize="0" print="0" autoFill="0" autoPict="0" macro="[0]!Sheet5.sendmail_sample1">
                <anchor moveWithCells="1" sizeWithCells="1">
                  <from>
                    <xdr:col>44</xdr:col>
                    <xdr:colOff>219075</xdr:colOff>
                    <xdr:row>20</xdr:row>
                    <xdr:rowOff>104775</xdr:rowOff>
                  </from>
                  <to>
                    <xdr:col>54</xdr:col>
                    <xdr:colOff>57150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7" name="Button 10">
              <controlPr defaultSize="0" print="0" autoFill="0" autoPict="0" macro="[0]!Sheet5.印刷2">
                <anchor moveWithCells="1" sizeWithCells="1">
                  <from>
                    <xdr:col>50</xdr:col>
                    <xdr:colOff>28575</xdr:colOff>
                    <xdr:row>23</xdr:row>
                    <xdr:rowOff>9525</xdr:rowOff>
                  </from>
                  <to>
                    <xdr:col>54</xdr:col>
                    <xdr:colOff>133350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Sheet5.masuo">
                <anchor moveWithCells="1" sizeWithCells="1">
                  <from>
                    <xdr:col>49</xdr:col>
                    <xdr:colOff>161925</xdr:colOff>
                    <xdr:row>8</xdr:row>
                    <xdr:rowOff>171450</xdr:rowOff>
                  </from>
                  <to>
                    <xdr:col>52</xdr:col>
                    <xdr:colOff>9525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9" name="Button 14">
              <controlPr defaultSize="0" print="0" autoFill="0" autoPict="0" macro="[0]!Sheet5.takasaki">
                <anchor moveWithCells="1" sizeWithCells="1">
                  <from>
                    <xdr:col>52</xdr:col>
                    <xdr:colOff>133350</xdr:colOff>
                    <xdr:row>8</xdr:row>
                    <xdr:rowOff>161925</xdr:rowOff>
                  </from>
                  <to>
                    <xdr:col>54</xdr:col>
                    <xdr:colOff>161925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0" name="Button 15">
              <controlPr defaultSize="0" print="0" autoFill="0" autoPict="0" macro="[0]!Sheet5.規格">
                <anchor moveWithCells="1" sizeWithCells="1">
                  <from>
                    <xdr:col>49</xdr:col>
                    <xdr:colOff>171450</xdr:colOff>
                    <xdr:row>12</xdr:row>
                    <xdr:rowOff>114300</xdr:rowOff>
                  </from>
                  <to>
                    <xdr:col>52</xdr:col>
                    <xdr:colOff>9525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1" name="Button 16">
              <controlPr defaultSize="0" print="0" autoFill="0" autoPict="0" macro="[0]!Sheet5.特注">
                <anchor moveWithCells="1" sizeWithCells="1">
                  <from>
                    <xdr:col>52</xdr:col>
                    <xdr:colOff>114300</xdr:colOff>
                    <xdr:row>12</xdr:row>
                    <xdr:rowOff>114300</xdr:rowOff>
                  </from>
                  <to>
                    <xdr:col>54</xdr:col>
                    <xdr:colOff>161925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2" name="Button 17">
              <controlPr defaultSize="0" print="0" autoFill="0" autoPict="0" macro="[0]!Sheet5.sendmail_sample2">
                <anchor moveWithCells="1" sizeWithCells="1">
                  <from>
                    <xdr:col>44</xdr:col>
                    <xdr:colOff>190500</xdr:colOff>
                    <xdr:row>23</xdr:row>
                    <xdr:rowOff>19050</xdr:rowOff>
                  </from>
                  <to>
                    <xdr:col>49</xdr:col>
                    <xdr:colOff>171450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3" name="Button 19">
              <controlPr defaultSize="0" print="0" autoFill="0" autoPict="0" macro="[0]!Sheet5.hasuike">
                <anchor moveWithCells="1" sizeWithCells="1">
                  <from>
                    <xdr:col>46</xdr:col>
                    <xdr:colOff>209550</xdr:colOff>
                    <xdr:row>9</xdr:row>
                    <xdr:rowOff>0</xdr:rowOff>
                  </from>
                  <to>
                    <xdr:col>49</xdr:col>
                    <xdr:colOff>57150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C10"/>
  <sheetViews>
    <sheetView workbookViewId="0">
      <selection activeCell="A10" sqref="A10:XFD10"/>
    </sheetView>
  </sheetViews>
  <sheetFormatPr defaultRowHeight="15.75" x14ac:dyDescent="0.4"/>
  <cols>
    <col min="1" max="1" width="14" style="45" customWidth="1"/>
    <col min="2" max="2" width="56" style="46" customWidth="1"/>
    <col min="3" max="3" width="56.25" style="46" customWidth="1"/>
    <col min="4" max="6" width="9" style="46" customWidth="1"/>
    <col min="7" max="16384" width="9" style="46"/>
  </cols>
  <sheetData>
    <row r="1" spans="1:3" x14ac:dyDescent="0.4">
      <c r="A1" s="45" t="s">
        <v>139</v>
      </c>
      <c r="B1" s="45" t="s">
        <v>140</v>
      </c>
      <c r="C1" s="45" t="s">
        <v>141</v>
      </c>
    </row>
    <row r="2" spans="1:3" x14ac:dyDescent="0.4">
      <c r="A2" s="45" t="s">
        <v>142</v>
      </c>
      <c r="B2" s="60" t="s">
        <v>143</v>
      </c>
      <c r="C2" s="60" t="s">
        <v>144</v>
      </c>
    </row>
    <row r="3" spans="1:3" x14ac:dyDescent="0.4">
      <c r="A3" s="45" t="s">
        <v>145</v>
      </c>
      <c r="B3" s="60" t="s">
        <v>143</v>
      </c>
      <c r="C3" s="60" t="s">
        <v>144</v>
      </c>
    </row>
    <row r="4" spans="1:3" x14ac:dyDescent="0.4">
      <c r="A4" s="45" t="s">
        <v>146</v>
      </c>
      <c r="B4" s="60" t="s">
        <v>143</v>
      </c>
      <c r="C4" s="60" t="s">
        <v>144</v>
      </c>
    </row>
    <row r="5" spans="1:3" x14ac:dyDescent="0.4">
      <c r="A5" s="45" t="s">
        <v>147</v>
      </c>
      <c r="B5" s="60" t="s">
        <v>148</v>
      </c>
      <c r="C5" s="60" t="s">
        <v>149</v>
      </c>
    </row>
    <row r="6" spans="1:3" x14ac:dyDescent="0.4">
      <c r="A6" s="45" t="s">
        <v>150</v>
      </c>
      <c r="B6" s="60" t="s">
        <v>148</v>
      </c>
      <c r="C6" s="60" t="s">
        <v>149</v>
      </c>
    </row>
    <row r="7" spans="1:3" x14ac:dyDescent="0.4">
      <c r="A7" s="45" t="s">
        <v>151</v>
      </c>
      <c r="B7" s="60" t="s">
        <v>148</v>
      </c>
      <c r="C7" s="60" t="s">
        <v>149</v>
      </c>
    </row>
    <row r="8" spans="1:3" x14ac:dyDescent="0.4">
      <c r="A8" s="45" t="s">
        <v>152</v>
      </c>
      <c r="B8" s="60" t="s">
        <v>153</v>
      </c>
      <c r="C8" s="60" t="s">
        <v>149</v>
      </c>
    </row>
    <row r="10" spans="1:3" x14ac:dyDescent="0.4">
      <c r="A10" s="45" t="s">
        <v>154</v>
      </c>
      <c r="B10" s="60" t="s">
        <v>155</v>
      </c>
      <c r="C10" s="60" t="s">
        <v>156</v>
      </c>
    </row>
  </sheetData>
  <phoneticPr fontId="4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L33"/>
  <sheetViews>
    <sheetView workbookViewId="0">
      <selection activeCell="AC21" sqref="AC21"/>
    </sheetView>
  </sheetViews>
  <sheetFormatPr defaultRowHeight="15.75" x14ac:dyDescent="0.4"/>
  <cols>
    <col min="1" max="5" width="1.875" style="66" customWidth="1"/>
    <col min="6" max="13" width="1.75" style="66" customWidth="1"/>
    <col min="14" max="18" width="1.875" style="66" customWidth="1"/>
    <col min="19" max="28" width="1.75" style="66" customWidth="1"/>
    <col min="29" max="43" width="1.875" style="66" customWidth="1"/>
    <col min="44" max="50" width="1.75" style="66" customWidth="1"/>
    <col min="51" max="63" width="2.625" style="66" customWidth="1"/>
    <col min="64" max="66" width="9" style="66" customWidth="1"/>
    <col min="67" max="16384" width="9" style="66"/>
  </cols>
  <sheetData>
    <row r="1" spans="1:64" ht="7.5" customHeight="1" x14ac:dyDescent="0.4">
      <c r="Q1" s="96" t="s">
        <v>0</v>
      </c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H1" s="49"/>
      <c r="AI1" s="49"/>
      <c r="AJ1" s="50" t="s">
        <v>1</v>
      </c>
      <c r="AK1" s="85"/>
      <c r="AL1" s="83"/>
      <c r="AM1" s="83"/>
      <c r="AN1" s="83"/>
      <c r="AO1" s="83"/>
      <c r="AP1" s="83"/>
      <c r="AQ1" s="49"/>
      <c r="AR1" s="53"/>
    </row>
    <row r="2" spans="1:64" ht="7.5" customHeight="1" x14ac:dyDescent="0.4">
      <c r="A2" s="79" t="s">
        <v>2</v>
      </c>
      <c r="B2" s="80"/>
      <c r="C2" s="80"/>
      <c r="D2" s="80"/>
      <c r="E2" s="81"/>
      <c r="F2" s="90" t="s">
        <v>3</v>
      </c>
      <c r="G2" s="81"/>
      <c r="H2" s="90" t="s">
        <v>4</v>
      </c>
      <c r="I2" s="81"/>
      <c r="J2" s="51"/>
      <c r="L2" s="52"/>
      <c r="M2" s="52"/>
      <c r="N2" s="52"/>
      <c r="O2" s="52"/>
      <c r="P2" s="52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82"/>
      <c r="B3" s="83"/>
      <c r="C3" s="83"/>
      <c r="D3" s="83"/>
      <c r="E3" s="84"/>
      <c r="F3" s="82"/>
      <c r="G3" s="84"/>
      <c r="H3" s="82"/>
      <c r="I3" s="84"/>
      <c r="J3" s="51"/>
      <c r="K3" s="52"/>
      <c r="L3" s="52"/>
      <c r="M3" s="52"/>
      <c r="N3" s="52"/>
      <c r="O3" s="52"/>
      <c r="P3" s="52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52"/>
      <c r="AD3" s="52"/>
      <c r="AE3" s="52"/>
      <c r="AF3" s="52"/>
      <c r="AG3" s="52"/>
      <c r="AH3" s="179" t="str">
        <f>IF('納品書控(製品)'!AH3:AQ3="","",'納品書控(製品)'!AH3:AQ3)</f>
        <v>2024年11月18日</v>
      </c>
      <c r="AI3" s="83"/>
      <c r="AJ3" s="83"/>
      <c r="AK3" s="83"/>
      <c r="AL3" s="83"/>
      <c r="AM3" s="83"/>
      <c r="AN3" s="83"/>
      <c r="AO3" s="83"/>
      <c r="AP3" s="83"/>
      <c r="AQ3" s="83"/>
      <c r="AR3" s="53"/>
    </row>
    <row r="4" spans="1:64" ht="9" customHeight="1" x14ac:dyDescent="0.4">
      <c r="A4" s="79" t="s">
        <v>6</v>
      </c>
      <c r="B4" s="80"/>
      <c r="C4" s="80"/>
      <c r="D4" s="80"/>
      <c r="E4" s="81"/>
      <c r="F4" s="90" t="s">
        <v>7</v>
      </c>
      <c r="G4" s="81"/>
      <c r="H4" s="90" t="s">
        <v>8</v>
      </c>
      <c r="I4" s="81"/>
      <c r="J4" s="90">
        <v>6</v>
      </c>
      <c r="K4" s="81"/>
      <c r="L4" s="90">
        <v>5</v>
      </c>
      <c r="M4" s="81"/>
      <c r="N4" s="79" t="s">
        <v>9</v>
      </c>
      <c r="O4" s="80"/>
      <c r="P4" s="80"/>
      <c r="Q4" s="80"/>
      <c r="R4" s="81"/>
      <c r="S4" s="90" t="s">
        <v>10</v>
      </c>
      <c r="T4" s="81"/>
      <c r="U4" s="90" t="s">
        <v>11</v>
      </c>
      <c r="V4" s="81"/>
      <c r="W4" s="90">
        <v>1</v>
      </c>
      <c r="X4" s="81"/>
      <c r="Y4" s="90">
        <v>4</v>
      </c>
      <c r="Z4" s="81"/>
      <c r="AB4" s="97" t="str">
        <f>IF('納品書控(製品)'!AB4:AG5="","",'納品書控(製品)'!AB4:AG5)</f>
        <v>1梱包</v>
      </c>
      <c r="AC4" s="88"/>
      <c r="AD4" s="88"/>
      <c r="AE4" s="88"/>
      <c r="AF4" s="88"/>
      <c r="AG4" s="88"/>
      <c r="AK4" s="91" t="s">
        <v>13</v>
      </c>
      <c r="AL4" s="80"/>
      <c r="AM4" s="91" t="str">
        <f>IF('納品書控(製品)'!AM4:AQ5="","",'納品書控(製品)'!AM4:AQ5)</f>
        <v>15:30</v>
      </c>
      <c r="AN4" s="80"/>
      <c r="AO4" s="80"/>
      <c r="AP4" s="80"/>
      <c r="AQ4" s="80"/>
    </row>
    <row r="5" spans="1:64" ht="9" customHeight="1" x14ac:dyDescent="0.4">
      <c r="A5" s="82"/>
      <c r="B5" s="83"/>
      <c r="C5" s="83"/>
      <c r="D5" s="83"/>
      <c r="E5" s="84"/>
      <c r="F5" s="82"/>
      <c r="G5" s="84"/>
      <c r="H5" s="82"/>
      <c r="I5" s="84"/>
      <c r="J5" s="82"/>
      <c r="K5" s="84"/>
      <c r="L5" s="82"/>
      <c r="M5" s="84"/>
      <c r="N5" s="82"/>
      <c r="O5" s="83"/>
      <c r="P5" s="83"/>
      <c r="Q5" s="83"/>
      <c r="R5" s="84"/>
      <c r="S5" s="82"/>
      <c r="T5" s="84"/>
      <c r="U5" s="82"/>
      <c r="V5" s="84"/>
      <c r="W5" s="82"/>
      <c r="X5" s="84"/>
      <c r="Y5" s="82"/>
      <c r="Z5" s="84"/>
      <c r="AB5" s="88"/>
      <c r="AC5" s="88"/>
      <c r="AD5" s="88"/>
      <c r="AE5" s="88"/>
      <c r="AF5" s="88"/>
      <c r="AG5" s="88"/>
      <c r="AH5" s="54"/>
      <c r="AI5" s="54"/>
      <c r="AJ5" s="54"/>
      <c r="AK5" s="88"/>
      <c r="AL5" s="88"/>
      <c r="AM5" s="88"/>
      <c r="AN5" s="88"/>
      <c r="AO5" s="88"/>
      <c r="AP5" s="88"/>
      <c r="AQ5" s="88"/>
    </row>
    <row r="6" spans="1:64" ht="12.75" customHeight="1" thickBot="1" x14ac:dyDescent="0.45">
      <c r="AB6" s="184" t="str">
        <f>IF('納品書控(製品)'!AB6:AJ6="","",'納品書控(製品)'!AB6:AJ6)</f>
        <v>(関東CS対応分)</v>
      </c>
      <c r="AC6" s="185"/>
      <c r="AD6" s="185"/>
      <c r="AE6" s="185"/>
      <c r="AF6" s="185"/>
      <c r="AG6" s="185"/>
      <c r="AH6" s="185"/>
      <c r="AI6" s="185"/>
      <c r="AJ6" s="185"/>
      <c r="AK6" s="55"/>
      <c r="AL6" s="55"/>
      <c r="AM6" s="55"/>
      <c r="AN6" s="55"/>
      <c r="BL6" s="73"/>
    </row>
    <row r="7" spans="1:64" ht="9.75" customHeight="1" x14ac:dyDescent="0.4">
      <c r="A7" s="197" t="s">
        <v>14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87"/>
      <c r="S7" s="193" t="s">
        <v>15</v>
      </c>
      <c r="T7" s="175"/>
      <c r="U7" s="175"/>
      <c r="V7" s="176"/>
      <c r="W7" s="182" t="s">
        <v>16</v>
      </c>
      <c r="X7" s="175"/>
      <c r="Y7" s="175"/>
      <c r="Z7" s="175"/>
      <c r="AA7" s="175"/>
      <c r="AB7" s="176"/>
      <c r="AC7" s="195" t="s">
        <v>17</v>
      </c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87"/>
      <c r="BL7" s="73"/>
    </row>
    <row r="8" spans="1:64" ht="9.75" customHeight="1" thickBot="1" x14ac:dyDescent="0.45">
      <c r="A8" s="191"/>
      <c r="B8" s="185"/>
      <c r="C8" s="185"/>
      <c r="D8" s="185"/>
      <c r="E8" s="185"/>
      <c r="F8" s="185"/>
      <c r="G8" s="185"/>
      <c r="H8" s="185"/>
      <c r="I8" s="185"/>
      <c r="J8" s="185"/>
      <c r="K8" s="185"/>
      <c r="L8" s="185"/>
      <c r="M8" s="185"/>
      <c r="N8" s="185"/>
      <c r="O8" s="185"/>
      <c r="P8" s="185"/>
      <c r="Q8" s="185"/>
      <c r="R8" s="192"/>
      <c r="S8" s="83"/>
      <c r="T8" s="83"/>
      <c r="U8" s="83"/>
      <c r="V8" s="84"/>
      <c r="W8" s="82"/>
      <c r="X8" s="83"/>
      <c r="Y8" s="83"/>
      <c r="Z8" s="83"/>
      <c r="AA8" s="83"/>
      <c r="AB8" s="84"/>
      <c r="AC8" s="196"/>
      <c r="AD8" s="185"/>
      <c r="AE8" s="185"/>
      <c r="AF8" s="185"/>
      <c r="AG8" s="185"/>
      <c r="AH8" s="185"/>
      <c r="AI8" s="185"/>
      <c r="AJ8" s="185"/>
      <c r="AK8" s="185"/>
      <c r="AL8" s="185"/>
      <c r="AM8" s="185"/>
      <c r="AN8" s="185"/>
      <c r="AO8" s="185"/>
      <c r="AP8" s="185"/>
      <c r="AQ8" s="192"/>
      <c r="BL8" s="73"/>
    </row>
    <row r="9" spans="1:64" ht="9.75" customHeight="1" x14ac:dyDescent="0.4">
      <c r="A9" s="177" t="str">
        <f>IF('納品書控(製品)'!A9:R10="","",'納品書控(製品)'!A9:R10)</f>
        <v>代替品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6"/>
      <c r="S9" s="180"/>
      <c r="T9" s="175"/>
      <c r="U9" s="175"/>
      <c r="V9" s="176"/>
      <c r="W9" s="174"/>
      <c r="X9" s="175"/>
      <c r="Y9" s="175"/>
      <c r="Z9" s="175"/>
      <c r="AA9" s="175"/>
      <c r="AB9" s="176"/>
      <c r="AC9" s="183" t="str">
        <f>IF('納品書控(製品)'!AC9:AL10="","",'納品書控(製品)'!AC9:AL10)</f>
        <v/>
      </c>
      <c r="AD9" s="175"/>
      <c r="AE9" s="175"/>
      <c r="AF9" s="175"/>
      <c r="AG9" s="175"/>
      <c r="AH9" s="175"/>
      <c r="AI9" s="175"/>
      <c r="AJ9" s="175"/>
      <c r="AK9" s="175"/>
      <c r="AL9" s="176"/>
      <c r="AM9" s="186" t="str">
        <f>IF('納品書控(製品)'!AM9:AQ10="","",'納品書控(製品)'!AM9:AQ10)</f>
        <v/>
      </c>
      <c r="AN9" s="175"/>
      <c r="AO9" s="175"/>
      <c r="AP9" s="175"/>
      <c r="AQ9" s="187"/>
      <c r="BL9" s="73"/>
    </row>
    <row r="10" spans="1:64" ht="9.75" customHeight="1" x14ac:dyDescent="0.4">
      <c r="A10" s="178"/>
      <c r="B10" s="83"/>
      <c r="C10" s="83"/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4"/>
      <c r="S10" s="83"/>
      <c r="T10" s="83"/>
      <c r="U10" s="83"/>
      <c r="V10" s="84"/>
      <c r="W10" s="82"/>
      <c r="X10" s="83"/>
      <c r="Y10" s="83"/>
      <c r="Z10" s="83"/>
      <c r="AA10" s="83"/>
      <c r="AB10" s="84"/>
      <c r="AC10" s="82"/>
      <c r="AD10" s="83"/>
      <c r="AE10" s="83"/>
      <c r="AF10" s="83"/>
      <c r="AG10" s="83"/>
      <c r="AH10" s="83"/>
      <c r="AI10" s="83"/>
      <c r="AJ10" s="83"/>
      <c r="AK10" s="83"/>
      <c r="AL10" s="84"/>
      <c r="AM10" s="82"/>
      <c r="AN10" s="83"/>
      <c r="AO10" s="83"/>
      <c r="AP10" s="83"/>
      <c r="AQ10" s="188"/>
      <c r="BL10" s="73"/>
    </row>
    <row r="11" spans="1:64" ht="9.75" customHeight="1" x14ac:dyDescent="0.4">
      <c r="A11" s="189" t="str">
        <f>IF('納品書控(製品)'!A11:R12="","",'納品書控(製品)'!A11:R12)</f>
        <v/>
      </c>
      <c r="B11" s="80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190"/>
      <c r="S11" s="181" t="str">
        <f>IF('納品書控(製品)'!S11:V12="","",'納品書控(製品)'!S11:V12)</f>
        <v/>
      </c>
      <c r="T11" s="80"/>
      <c r="U11" s="80"/>
      <c r="V11" s="81"/>
      <c r="W11" s="78"/>
      <c r="X11" s="80"/>
      <c r="Y11" s="80"/>
      <c r="Z11" s="80"/>
      <c r="AA11" s="80"/>
      <c r="AB11" s="81"/>
      <c r="AC11" s="86" t="str">
        <f>IF('納品書控(製品)'!AC11:AQ12="","",'納品書控(製品)'!AC11:AQ12)</f>
        <v/>
      </c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1"/>
      <c r="BL11" s="73"/>
    </row>
    <row r="12" spans="1:64" ht="9.75" customHeight="1" thickBot="1" x14ac:dyDescent="0.45">
      <c r="A12" s="191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92"/>
      <c r="S12" s="83"/>
      <c r="T12" s="83"/>
      <c r="U12" s="83"/>
      <c r="V12" s="84"/>
      <c r="W12" s="82"/>
      <c r="X12" s="83"/>
      <c r="Y12" s="83"/>
      <c r="Z12" s="83"/>
      <c r="AA12" s="83"/>
      <c r="AB12" s="84"/>
      <c r="AC12" s="82"/>
      <c r="AD12" s="83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4"/>
      <c r="BL12" s="73"/>
    </row>
    <row r="13" spans="1:64" ht="9.75" customHeight="1" x14ac:dyDescent="0.4">
      <c r="A13" s="177" t="str">
        <f>IF('納品書控(製品)'!A13:R14="","",'納品書控(製品)'!A13:R14)</f>
        <v/>
      </c>
      <c r="B13" s="17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6"/>
      <c r="S13" s="180"/>
      <c r="T13" s="175"/>
      <c r="U13" s="175"/>
      <c r="V13" s="176"/>
      <c r="W13" s="174"/>
      <c r="X13" s="175"/>
      <c r="Y13" s="175"/>
      <c r="Z13" s="175"/>
      <c r="AA13" s="175"/>
      <c r="AB13" s="176"/>
      <c r="AC13" s="194" t="str">
        <f>IF('納品書控(製品)'!AC13:AQ14="","",'納品書控(製品)'!AC13:AQ14)</f>
        <v>届け先：</v>
      </c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6"/>
      <c r="BL13" s="73"/>
    </row>
    <row r="14" spans="1:64" ht="9.75" customHeight="1" x14ac:dyDescent="0.4">
      <c r="A14" s="178"/>
      <c r="B14" s="83"/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4"/>
      <c r="S14" s="83"/>
      <c r="T14" s="83"/>
      <c r="U14" s="83"/>
      <c r="V14" s="84"/>
      <c r="W14" s="82"/>
      <c r="X14" s="83"/>
      <c r="Y14" s="83"/>
      <c r="Z14" s="83"/>
      <c r="AA14" s="83"/>
      <c r="AB14" s="84"/>
      <c r="AC14" s="82"/>
      <c r="AD14" s="83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4"/>
      <c r="BL14" s="73"/>
    </row>
    <row r="15" spans="1:64" ht="9.75" customHeight="1" x14ac:dyDescent="0.4">
      <c r="A15" s="189" t="str">
        <f>IF('納品書控(製品)'!A15:R16="","",'納品書控(製品)'!A15:R16)</f>
        <v/>
      </c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80"/>
      <c r="R15" s="190"/>
      <c r="S15" s="181" t="str">
        <f>IF('納品書控(製品)'!S15:V16="","",'納品書控(製品)'!S15:V16)</f>
        <v/>
      </c>
      <c r="T15" s="80"/>
      <c r="U15" s="80"/>
      <c r="V15" s="81"/>
      <c r="W15" s="78"/>
      <c r="X15" s="80"/>
      <c r="Y15" s="80"/>
      <c r="Z15" s="80"/>
      <c r="AA15" s="80"/>
      <c r="AB15" s="81"/>
      <c r="AC15" s="86" t="str">
        <f>IF('納品書控(製品)'!AC15:AQ16="","",'納品書控(製品)'!AC15:AQ16)</f>
        <v/>
      </c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1"/>
      <c r="BL15" s="73"/>
    </row>
    <row r="16" spans="1:64" ht="9.75" customHeight="1" thickBot="1" x14ac:dyDescent="0.45">
      <c r="A16" s="191"/>
      <c r="B16" s="185"/>
      <c r="C16" s="185"/>
      <c r="D16" s="185"/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92"/>
      <c r="S16" s="83"/>
      <c r="T16" s="83"/>
      <c r="U16" s="83"/>
      <c r="V16" s="84"/>
      <c r="W16" s="82"/>
      <c r="X16" s="83"/>
      <c r="Y16" s="83"/>
      <c r="Z16" s="83"/>
      <c r="AA16" s="83"/>
      <c r="AB16" s="84"/>
      <c r="AC16" s="82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4"/>
      <c r="BL16" s="73"/>
    </row>
    <row r="17" spans="1:64" ht="9.75" customHeight="1" x14ac:dyDescent="0.4">
      <c r="A17" s="177" t="str">
        <f>IF('納品書控(製品)'!A17:R18="","",'納品書控(製品)'!A17:R18)</f>
        <v/>
      </c>
      <c r="B17" s="17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6"/>
      <c r="S17" s="180"/>
      <c r="T17" s="175"/>
      <c r="U17" s="175"/>
      <c r="V17" s="176"/>
      <c r="W17" s="174"/>
      <c r="X17" s="175"/>
      <c r="Y17" s="175"/>
      <c r="Z17" s="175"/>
      <c r="AA17" s="175"/>
      <c r="AB17" s="176"/>
      <c r="AC17" s="194" t="str">
        <f>IF('納品書控(製品)'!AC17:AQ18="","",'納品書控(製品)'!AC17:AQ18)</f>
        <v>現場名：</v>
      </c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6"/>
      <c r="BL17" s="73"/>
    </row>
    <row r="18" spans="1:64" ht="9.75" customHeight="1" x14ac:dyDescent="0.4">
      <c r="A18" s="178"/>
      <c r="B18" s="83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4"/>
      <c r="S18" s="83"/>
      <c r="T18" s="83"/>
      <c r="U18" s="83"/>
      <c r="V18" s="84"/>
      <c r="W18" s="82"/>
      <c r="X18" s="83"/>
      <c r="Y18" s="83"/>
      <c r="Z18" s="83"/>
      <c r="AA18" s="83"/>
      <c r="AB18" s="84"/>
      <c r="AC18" s="82"/>
      <c r="AD18" s="83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4"/>
    </row>
    <row r="19" spans="1:64" ht="9.75" customHeight="1" x14ac:dyDescent="0.4">
      <c r="A19" s="189" t="str">
        <f>IF('納品書控(製品)'!A19:R20="","",'納品書控(製品)'!A19:R20)</f>
        <v/>
      </c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190"/>
      <c r="S19" s="181" t="str">
        <f>IF('納品書控(製品)'!S19:V20="","",'納品書控(製品)'!S19:V20)</f>
        <v/>
      </c>
      <c r="T19" s="80"/>
      <c r="U19" s="80"/>
      <c r="V19" s="81"/>
      <c r="W19" s="78"/>
      <c r="X19" s="80"/>
      <c r="Y19" s="80"/>
      <c r="Z19" s="80"/>
      <c r="AA19" s="80"/>
      <c r="AB19" s="81"/>
      <c r="AC19" s="86" t="str">
        <f>IF('納品書控(製品)'!AC19:AQ20="","",'納品書控(製品)'!AC19:AQ20)</f>
        <v/>
      </c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1"/>
    </row>
    <row r="20" spans="1:64" ht="9.75" customHeight="1" thickBot="1" x14ac:dyDescent="0.45">
      <c r="A20" s="191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92"/>
      <c r="S20" s="83"/>
      <c r="T20" s="83"/>
      <c r="U20" s="83"/>
      <c r="V20" s="84"/>
      <c r="W20" s="82"/>
      <c r="X20" s="83"/>
      <c r="Y20" s="83"/>
      <c r="Z20" s="83"/>
      <c r="AA20" s="83"/>
      <c r="AB20" s="84"/>
      <c r="AC20" s="82"/>
      <c r="AD20" s="83"/>
      <c r="AE20" s="83"/>
      <c r="AF20" s="83"/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4"/>
    </row>
    <row r="21" spans="1:64" ht="10.5" customHeight="1" x14ac:dyDescent="0.4">
      <c r="A21" s="67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15.75" customHeight="1" x14ac:dyDescent="0.4"/>
    <row r="23" spans="1:64" ht="15.75" customHeight="1" x14ac:dyDescent="0.4"/>
    <row r="24" spans="1:64" ht="15.75" customHeight="1" x14ac:dyDescent="0.4"/>
    <row r="25" spans="1:64" ht="15.75" customHeight="1" x14ac:dyDescent="0.4"/>
    <row r="26" spans="1:64" ht="15.75" customHeight="1" x14ac:dyDescent="0.4"/>
    <row r="27" spans="1:64" ht="15.75" customHeight="1" x14ac:dyDescent="0.4"/>
    <row r="28" spans="1:64" ht="15.75" customHeight="1" x14ac:dyDescent="0.4"/>
    <row r="29" spans="1:64" ht="15.75" customHeight="1" x14ac:dyDescent="0.4"/>
    <row r="30" spans="1:64" ht="15.75" customHeight="1" x14ac:dyDescent="0.4"/>
    <row r="31" spans="1:64" ht="15.75" customHeight="1" x14ac:dyDescent="0.4"/>
    <row r="32" spans="1:64" ht="15.75" customHeight="1" x14ac:dyDescent="0.4"/>
    <row r="33" ht="15.75" customHeight="1" x14ac:dyDescent="0.4"/>
  </sheetData>
  <sheetProtection sheet="1" objects="1" scenarios="1"/>
  <mergeCells count="49">
    <mergeCell ref="A7:R8"/>
    <mergeCell ref="A19:R20"/>
    <mergeCell ref="AC11:AQ12"/>
    <mergeCell ref="Q1:AB3"/>
    <mergeCell ref="S17:V18"/>
    <mergeCell ref="W19:AB20"/>
    <mergeCell ref="S7:V8"/>
    <mergeCell ref="A9:R10"/>
    <mergeCell ref="W13:AB14"/>
    <mergeCell ref="AC17:AQ18"/>
    <mergeCell ref="S4:T5"/>
    <mergeCell ref="A4:E5"/>
    <mergeCell ref="S19:V20"/>
    <mergeCell ref="AC13:AQ14"/>
    <mergeCell ref="AK1:AP1"/>
    <mergeCell ref="AC19:AQ20"/>
    <mergeCell ref="W17:AB18"/>
    <mergeCell ref="AH3:AQ3"/>
    <mergeCell ref="S9:V10"/>
    <mergeCell ref="S15:V16"/>
    <mergeCell ref="AB4:AG5"/>
    <mergeCell ref="W4:X5"/>
    <mergeCell ref="Y4:Z5"/>
    <mergeCell ref="W7:AB8"/>
    <mergeCell ref="AK4:AL5"/>
    <mergeCell ref="AC9:AL10"/>
    <mergeCell ref="AC15:AQ16"/>
    <mergeCell ref="AB6:AJ6"/>
    <mergeCell ref="AM9:AQ10"/>
    <mergeCell ref="AM4:AQ5"/>
    <mergeCell ref="S11:V12"/>
    <mergeCell ref="U4:V5"/>
    <mergeCell ref="AC7:AQ8"/>
    <mergeCell ref="F2:G3"/>
    <mergeCell ref="H2:I3"/>
    <mergeCell ref="W11:AB12"/>
    <mergeCell ref="W9:AB10"/>
    <mergeCell ref="A17:R18"/>
    <mergeCell ref="A2:E3"/>
    <mergeCell ref="A13:R14"/>
    <mergeCell ref="J4:K5"/>
    <mergeCell ref="L4:M5"/>
    <mergeCell ref="A15:R16"/>
    <mergeCell ref="S13:V14"/>
    <mergeCell ref="A11:R12"/>
    <mergeCell ref="W15:AB16"/>
    <mergeCell ref="N4:R5"/>
    <mergeCell ref="F4:G5"/>
    <mergeCell ref="H4:I5"/>
  </mergeCells>
  <phoneticPr fontId="4"/>
  <dataValidations count="3">
    <dataValidation type="list" allowBlank="1" showInputMessage="1" showErrorMessage="1" sqref="A9:R10" xr:uid="{00000000-0002-0000-0400-000000000000}">
      <formula1>"代替品"</formula1>
    </dataValidation>
    <dataValidation type="list" allowBlank="1" showInputMessage="1" showErrorMessage="1" sqref="AM9:AQ10" xr:uid="{00000000-0002-0000-0400-000001000000}">
      <formula1>"AX44,AX60,AX02,AX36,AX86,AX28"</formula1>
    </dataValidation>
    <dataValidation type="list" allowBlank="1" showInputMessage="1" sqref="S11:V12" xr:uid="{00000000-0002-0000-0400-000002000000}">
      <formula1>"1,2,3,4,5"</formula1>
    </dataValidation>
  </dataValidations>
  <printOptions horizontalCentered="1" verticalCentered="1"/>
  <pageMargins left="0.70866141732283472" right="0.70866141732283472" top="0.74803149606299213" bottom="0.74803149606299213" header="0.31496062992125978" footer="0.31496062992125978"/>
  <pageSetup paperSize="9"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BL33"/>
  <sheetViews>
    <sheetView workbookViewId="0">
      <selection activeCell="S11" sqref="S11:AH11"/>
    </sheetView>
  </sheetViews>
  <sheetFormatPr defaultRowHeight="15.75" x14ac:dyDescent="0.4"/>
  <cols>
    <col min="1" max="5" width="1.875" style="66" customWidth="1"/>
    <col min="6" max="13" width="1.75" style="66" customWidth="1"/>
    <col min="14" max="18" width="1.875" style="66" customWidth="1"/>
    <col min="19" max="28" width="1.75" style="66" customWidth="1"/>
    <col min="29" max="43" width="1.875" style="66" customWidth="1"/>
    <col min="44" max="50" width="1.75" style="66" customWidth="1"/>
    <col min="51" max="63" width="2.625" style="66" customWidth="1"/>
    <col min="64" max="66" width="9" style="66" customWidth="1"/>
    <col min="67" max="16384" width="9" style="66"/>
  </cols>
  <sheetData>
    <row r="1" spans="1:64" ht="7.5" customHeight="1" x14ac:dyDescent="0.4">
      <c r="Q1" s="96" t="s">
        <v>0</v>
      </c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H1" s="49"/>
      <c r="AI1" s="49"/>
      <c r="AJ1" s="50" t="s">
        <v>1</v>
      </c>
      <c r="AK1" s="85"/>
      <c r="AL1" s="83"/>
      <c r="AM1" s="83"/>
      <c r="AN1" s="83"/>
      <c r="AO1" s="83"/>
      <c r="AP1" s="83"/>
      <c r="AQ1" s="49"/>
      <c r="AR1" s="53"/>
    </row>
    <row r="2" spans="1:64" ht="7.5" customHeight="1" x14ac:dyDescent="0.4">
      <c r="A2" s="79" t="s">
        <v>2</v>
      </c>
      <c r="B2" s="80"/>
      <c r="C2" s="80"/>
      <c r="D2" s="80"/>
      <c r="E2" s="81"/>
      <c r="F2" s="90" t="s">
        <v>3</v>
      </c>
      <c r="G2" s="81"/>
      <c r="H2" s="90" t="s">
        <v>4</v>
      </c>
      <c r="I2" s="81"/>
      <c r="J2" s="51"/>
      <c r="L2" s="52"/>
      <c r="M2" s="52"/>
      <c r="N2" s="52"/>
      <c r="O2" s="52"/>
      <c r="P2" s="52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82"/>
      <c r="B3" s="83"/>
      <c r="C3" s="83"/>
      <c r="D3" s="83"/>
      <c r="E3" s="84"/>
      <c r="F3" s="82"/>
      <c r="G3" s="84"/>
      <c r="H3" s="82"/>
      <c r="I3" s="84"/>
      <c r="J3" s="51"/>
      <c r="K3" s="52"/>
      <c r="L3" s="52"/>
      <c r="M3" s="52"/>
      <c r="N3" s="52"/>
      <c r="O3" s="52"/>
      <c r="P3" s="52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52"/>
      <c r="AD3" s="52"/>
      <c r="AE3" s="52"/>
      <c r="AF3" s="52"/>
      <c r="AG3" s="52"/>
      <c r="AH3" s="179" t="str">
        <f>IF('納品書控(製品)'!AH3:AQ3="","",'納品書控(製品)'!AH3:AQ3)</f>
        <v>2024年11月18日</v>
      </c>
      <c r="AI3" s="83"/>
      <c r="AJ3" s="83"/>
      <c r="AK3" s="83"/>
      <c r="AL3" s="83"/>
      <c r="AM3" s="83"/>
      <c r="AN3" s="83"/>
      <c r="AO3" s="83"/>
      <c r="AP3" s="83"/>
      <c r="AQ3" s="83"/>
      <c r="AR3" s="53"/>
    </row>
    <row r="4" spans="1:64" ht="9" customHeight="1" x14ac:dyDescent="0.4">
      <c r="A4" s="79" t="s">
        <v>6</v>
      </c>
      <c r="B4" s="80"/>
      <c r="C4" s="80"/>
      <c r="D4" s="80"/>
      <c r="E4" s="81"/>
      <c r="F4" s="90" t="s">
        <v>7</v>
      </c>
      <c r="G4" s="81"/>
      <c r="H4" s="90" t="s">
        <v>8</v>
      </c>
      <c r="I4" s="81"/>
      <c r="J4" s="90">
        <v>6</v>
      </c>
      <c r="K4" s="81"/>
      <c r="L4" s="90">
        <v>5</v>
      </c>
      <c r="M4" s="81"/>
      <c r="N4" s="79" t="s">
        <v>9</v>
      </c>
      <c r="O4" s="80"/>
      <c r="P4" s="80"/>
      <c r="Q4" s="80"/>
      <c r="R4" s="81"/>
      <c r="S4" s="90" t="s">
        <v>10</v>
      </c>
      <c r="T4" s="81"/>
      <c r="U4" s="90" t="s">
        <v>11</v>
      </c>
      <c r="V4" s="81"/>
      <c r="W4" s="90">
        <v>1</v>
      </c>
      <c r="X4" s="81"/>
      <c r="Y4" s="90">
        <v>4</v>
      </c>
      <c r="Z4" s="81"/>
      <c r="AB4" s="97" t="str">
        <f>IF('納品書控(製品)'!AB4:AG5="","",'納品書控(製品)'!AB4:AG5)</f>
        <v>1梱包</v>
      </c>
      <c r="AC4" s="88"/>
      <c r="AD4" s="88"/>
      <c r="AE4" s="88"/>
      <c r="AF4" s="88"/>
      <c r="AG4" s="88"/>
      <c r="AK4" s="91" t="s">
        <v>13</v>
      </c>
      <c r="AL4" s="80"/>
      <c r="AM4" s="91" t="str">
        <f>IF('納品書控(製品)'!AM4:AQ5="","",'納品書控(製品)'!AM4:AQ5)</f>
        <v>15:30</v>
      </c>
      <c r="AN4" s="80"/>
      <c r="AO4" s="80"/>
      <c r="AP4" s="80"/>
      <c r="AQ4" s="80"/>
    </row>
    <row r="5" spans="1:64" ht="9" customHeight="1" x14ac:dyDescent="0.4">
      <c r="A5" s="82"/>
      <c r="B5" s="83"/>
      <c r="C5" s="83"/>
      <c r="D5" s="83"/>
      <c r="E5" s="84"/>
      <c r="F5" s="82"/>
      <c r="G5" s="84"/>
      <c r="H5" s="82"/>
      <c r="I5" s="84"/>
      <c r="J5" s="82"/>
      <c r="K5" s="84"/>
      <c r="L5" s="82"/>
      <c r="M5" s="84"/>
      <c r="N5" s="82"/>
      <c r="O5" s="83"/>
      <c r="P5" s="83"/>
      <c r="Q5" s="83"/>
      <c r="R5" s="84"/>
      <c r="S5" s="82"/>
      <c r="T5" s="84"/>
      <c r="U5" s="82"/>
      <c r="V5" s="84"/>
      <c r="W5" s="82"/>
      <c r="X5" s="84"/>
      <c r="Y5" s="82"/>
      <c r="Z5" s="84"/>
      <c r="AB5" s="88"/>
      <c r="AC5" s="88"/>
      <c r="AD5" s="88"/>
      <c r="AE5" s="88"/>
      <c r="AF5" s="88"/>
      <c r="AG5" s="88"/>
      <c r="AH5" s="54"/>
      <c r="AI5" s="54"/>
      <c r="AJ5" s="54"/>
      <c r="AK5" s="88"/>
      <c r="AL5" s="88"/>
      <c r="AM5" s="88"/>
      <c r="AN5" s="88"/>
      <c r="AO5" s="88"/>
      <c r="AP5" s="88"/>
      <c r="AQ5" s="88"/>
    </row>
    <row r="6" spans="1:64" ht="12.75" customHeight="1" thickBot="1" x14ac:dyDescent="0.45">
      <c r="AB6" s="184" t="str">
        <f>IF('納品書控(製品)'!AB6:AJ6="","",'納品書控(製品)'!AB6:AJ6)</f>
        <v>(関東CS対応分)</v>
      </c>
      <c r="AC6" s="185"/>
      <c r="AD6" s="185"/>
      <c r="AE6" s="185"/>
      <c r="AF6" s="185"/>
      <c r="AG6" s="185"/>
      <c r="AH6" s="185"/>
      <c r="AI6" s="185"/>
      <c r="AJ6" s="185"/>
      <c r="AK6" s="55"/>
      <c r="AL6" s="55"/>
      <c r="AM6" s="55"/>
      <c r="AN6" s="55"/>
      <c r="BL6" s="73"/>
    </row>
    <row r="7" spans="1:64" ht="9.75" customHeight="1" x14ac:dyDescent="0.4">
      <c r="A7" s="197" t="s">
        <v>14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87"/>
      <c r="S7" s="193" t="s">
        <v>15</v>
      </c>
      <c r="T7" s="175"/>
      <c r="U7" s="175"/>
      <c r="V7" s="176"/>
      <c r="W7" s="182" t="s">
        <v>16</v>
      </c>
      <c r="X7" s="175"/>
      <c r="Y7" s="175"/>
      <c r="Z7" s="175"/>
      <c r="AA7" s="175"/>
      <c r="AB7" s="176"/>
      <c r="AC7" s="195" t="s">
        <v>17</v>
      </c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87"/>
      <c r="BL7" s="73"/>
    </row>
    <row r="8" spans="1:64" ht="9.75" customHeight="1" thickBot="1" x14ac:dyDescent="0.45">
      <c r="A8" s="191"/>
      <c r="B8" s="185"/>
      <c r="C8" s="185"/>
      <c r="D8" s="185"/>
      <c r="E8" s="185"/>
      <c r="F8" s="185"/>
      <c r="G8" s="185"/>
      <c r="H8" s="185"/>
      <c r="I8" s="185"/>
      <c r="J8" s="185"/>
      <c r="K8" s="185"/>
      <c r="L8" s="185"/>
      <c r="M8" s="185"/>
      <c r="N8" s="185"/>
      <c r="O8" s="185"/>
      <c r="P8" s="185"/>
      <c r="Q8" s="185"/>
      <c r="R8" s="192"/>
      <c r="S8" s="83"/>
      <c r="T8" s="83"/>
      <c r="U8" s="83"/>
      <c r="V8" s="84"/>
      <c r="W8" s="82"/>
      <c r="X8" s="83"/>
      <c r="Y8" s="83"/>
      <c r="Z8" s="83"/>
      <c r="AA8" s="83"/>
      <c r="AB8" s="84"/>
      <c r="AC8" s="196"/>
      <c r="AD8" s="185"/>
      <c r="AE8" s="185"/>
      <c r="AF8" s="185"/>
      <c r="AG8" s="185"/>
      <c r="AH8" s="185"/>
      <c r="AI8" s="185"/>
      <c r="AJ8" s="185"/>
      <c r="AK8" s="185"/>
      <c r="AL8" s="185"/>
      <c r="AM8" s="185"/>
      <c r="AN8" s="185"/>
      <c r="AO8" s="185"/>
      <c r="AP8" s="185"/>
      <c r="AQ8" s="192"/>
      <c r="BL8" s="73"/>
    </row>
    <row r="9" spans="1:64" ht="9.75" customHeight="1" x14ac:dyDescent="0.4">
      <c r="A9" s="177" t="str">
        <f>IF('納品書控(製品)'!A9:R10="","",'納品書控(製品)'!A9:R10)</f>
        <v>代替品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6"/>
      <c r="S9" s="180"/>
      <c r="T9" s="175"/>
      <c r="U9" s="175"/>
      <c r="V9" s="176"/>
      <c r="W9" s="174"/>
      <c r="X9" s="175"/>
      <c r="Y9" s="175"/>
      <c r="Z9" s="175"/>
      <c r="AA9" s="175"/>
      <c r="AB9" s="176"/>
      <c r="AC9" s="183" t="str">
        <f>IF('納品書控(製品)'!AC9:AL10="","",'納品書控(製品)'!AC9:AL10)</f>
        <v/>
      </c>
      <c r="AD9" s="175"/>
      <c r="AE9" s="175"/>
      <c r="AF9" s="175"/>
      <c r="AG9" s="175"/>
      <c r="AH9" s="175"/>
      <c r="AI9" s="175"/>
      <c r="AJ9" s="175"/>
      <c r="AK9" s="175"/>
      <c r="AL9" s="176"/>
      <c r="AM9" s="186" t="str">
        <f>IF('納品書控(製品)'!AM9:AQ10="","",'納品書控(製品)'!AM9:AQ10)</f>
        <v/>
      </c>
      <c r="AN9" s="175"/>
      <c r="AO9" s="175"/>
      <c r="AP9" s="175"/>
      <c r="AQ9" s="187"/>
      <c r="BL9" s="73"/>
    </row>
    <row r="10" spans="1:64" ht="9.75" customHeight="1" x14ac:dyDescent="0.4">
      <c r="A10" s="178"/>
      <c r="B10" s="83"/>
      <c r="C10" s="83"/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4"/>
      <c r="S10" s="83"/>
      <c r="T10" s="83"/>
      <c r="U10" s="83"/>
      <c r="V10" s="84"/>
      <c r="W10" s="82"/>
      <c r="X10" s="83"/>
      <c r="Y10" s="83"/>
      <c r="Z10" s="83"/>
      <c r="AA10" s="83"/>
      <c r="AB10" s="84"/>
      <c r="AC10" s="82"/>
      <c r="AD10" s="83"/>
      <c r="AE10" s="83"/>
      <c r="AF10" s="83"/>
      <c r="AG10" s="83"/>
      <c r="AH10" s="83"/>
      <c r="AI10" s="83"/>
      <c r="AJ10" s="83"/>
      <c r="AK10" s="83"/>
      <c r="AL10" s="84"/>
      <c r="AM10" s="82"/>
      <c r="AN10" s="83"/>
      <c r="AO10" s="83"/>
      <c r="AP10" s="83"/>
      <c r="AQ10" s="188"/>
      <c r="BL10" s="73"/>
    </row>
    <row r="11" spans="1:64" ht="9.75" customHeight="1" x14ac:dyDescent="0.4">
      <c r="A11" s="189" t="str">
        <f>IF('納品書控(製品)'!A11:R12="","",'納品書控(製品)'!A11:R12)</f>
        <v/>
      </c>
      <c r="B11" s="80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190"/>
      <c r="S11" s="181" t="str">
        <f>IF('納品書控(製品)'!S11:V12="","",'納品書控(製品)'!S11:V12)</f>
        <v/>
      </c>
      <c r="T11" s="80"/>
      <c r="U11" s="80"/>
      <c r="V11" s="81"/>
      <c r="W11" s="78"/>
      <c r="X11" s="80"/>
      <c r="Y11" s="80"/>
      <c r="Z11" s="80"/>
      <c r="AA11" s="80"/>
      <c r="AB11" s="81"/>
      <c r="AC11" s="86" t="str">
        <f>IF('納品書控(製品)'!AC11:AQ12="","",'納品書控(製品)'!AC11:AQ12)</f>
        <v/>
      </c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1"/>
      <c r="BL11" s="73"/>
    </row>
    <row r="12" spans="1:64" ht="9.75" customHeight="1" thickBot="1" x14ac:dyDescent="0.45">
      <c r="A12" s="191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92"/>
      <c r="S12" s="83"/>
      <c r="T12" s="83"/>
      <c r="U12" s="83"/>
      <c r="V12" s="84"/>
      <c r="W12" s="82"/>
      <c r="X12" s="83"/>
      <c r="Y12" s="83"/>
      <c r="Z12" s="83"/>
      <c r="AA12" s="83"/>
      <c r="AB12" s="84"/>
      <c r="AC12" s="82"/>
      <c r="AD12" s="83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4"/>
      <c r="BL12" s="73"/>
    </row>
    <row r="13" spans="1:64" ht="9.75" customHeight="1" x14ac:dyDescent="0.4">
      <c r="A13" s="177" t="str">
        <f>IF('納品書控(製品)'!A13:R14="","",'納品書控(製品)'!A13:R14)</f>
        <v/>
      </c>
      <c r="B13" s="17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6"/>
      <c r="S13" s="180"/>
      <c r="T13" s="175"/>
      <c r="U13" s="175"/>
      <c r="V13" s="176"/>
      <c r="W13" s="174"/>
      <c r="X13" s="175"/>
      <c r="Y13" s="175"/>
      <c r="Z13" s="175"/>
      <c r="AA13" s="175"/>
      <c r="AB13" s="176"/>
      <c r="AC13" s="194" t="str">
        <f>IF('納品書控(製品)'!AC13:AQ14="","",'納品書控(製品)'!AC13:AQ14)</f>
        <v>届け先：</v>
      </c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6"/>
      <c r="BL13" s="73"/>
    </row>
    <row r="14" spans="1:64" ht="9.75" customHeight="1" x14ac:dyDescent="0.4">
      <c r="A14" s="178"/>
      <c r="B14" s="83"/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4"/>
      <c r="S14" s="83"/>
      <c r="T14" s="83"/>
      <c r="U14" s="83"/>
      <c r="V14" s="84"/>
      <c r="W14" s="82"/>
      <c r="X14" s="83"/>
      <c r="Y14" s="83"/>
      <c r="Z14" s="83"/>
      <c r="AA14" s="83"/>
      <c r="AB14" s="84"/>
      <c r="AC14" s="82"/>
      <c r="AD14" s="83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4"/>
      <c r="BL14" s="73"/>
    </row>
    <row r="15" spans="1:64" ht="9.75" customHeight="1" x14ac:dyDescent="0.4">
      <c r="A15" s="189" t="str">
        <f>IF('納品書控(製品)'!A15:R16="","",'納品書控(製品)'!A15:R16)</f>
        <v/>
      </c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80"/>
      <c r="R15" s="190"/>
      <c r="S15" s="181" t="str">
        <f>IF('納品書控(製品)'!S15:V16="","",'納品書控(製品)'!S15:V16)</f>
        <v/>
      </c>
      <c r="T15" s="80"/>
      <c r="U15" s="80"/>
      <c r="V15" s="81"/>
      <c r="W15" s="78"/>
      <c r="X15" s="80"/>
      <c r="Y15" s="80"/>
      <c r="Z15" s="80"/>
      <c r="AA15" s="80"/>
      <c r="AB15" s="81"/>
      <c r="AC15" s="86" t="str">
        <f>IF('納品書控(製品)'!AC15:AQ16="","",'納品書控(製品)'!AC15:AQ16)</f>
        <v/>
      </c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1"/>
      <c r="BL15" s="73"/>
    </row>
    <row r="16" spans="1:64" ht="9.75" customHeight="1" thickBot="1" x14ac:dyDescent="0.45">
      <c r="A16" s="191"/>
      <c r="B16" s="185"/>
      <c r="C16" s="185"/>
      <c r="D16" s="185"/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92"/>
      <c r="S16" s="83"/>
      <c r="T16" s="83"/>
      <c r="U16" s="83"/>
      <c r="V16" s="84"/>
      <c r="W16" s="82"/>
      <c r="X16" s="83"/>
      <c r="Y16" s="83"/>
      <c r="Z16" s="83"/>
      <c r="AA16" s="83"/>
      <c r="AB16" s="84"/>
      <c r="AC16" s="82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4"/>
      <c r="BL16" s="73"/>
    </row>
    <row r="17" spans="1:64" ht="9.75" customHeight="1" x14ac:dyDescent="0.4">
      <c r="A17" s="177" t="str">
        <f>IF('納品書控(製品)'!A17:R18="","",'納品書控(製品)'!A17:R18)</f>
        <v/>
      </c>
      <c r="B17" s="17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6"/>
      <c r="S17" s="180"/>
      <c r="T17" s="175"/>
      <c r="U17" s="175"/>
      <c r="V17" s="176"/>
      <c r="W17" s="174"/>
      <c r="X17" s="175"/>
      <c r="Y17" s="175"/>
      <c r="Z17" s="175"/>
      <c r="AA17" s="175"/>
      <c r="AB17" s="176"/>
      <c r="AC17" s="194" t="str">
        <f>IF('納品書控(製品)'!AC17:AQ18="","",'納品書控(製品)'!AC17:AQ18)</f>
        <v>現場名：</v>
      </c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6"/>
      <c r="BL17" s="73"/>
    </row>
    <row r="18" spans="1:64" ht="9.75" customHeight="1" x14ac:dyDescent="0.4">
      <c r="A18" s="178"/>
      <c r="B18" s="83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4"/>
      <c r="S18" s="83"/>
      <c r="T18" s="83"/>
      <c r="U18" s="83"/>
      <c r="V18" s="84"/>
      <c r="W18" s="82"/>
      <c r="X18" s="83"/>
      <c r="Y18" s="83"/>
      <c r="Z18" s="83"/>
      <c r="AA18" s="83"/>
      <c r="AB18" s="84"/>
      <c r="AC18" s="82"/>
      <c r="AD18" s="83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4"/>
    </row>
    <row r="19" spans="1:64" ht="9.75" customHeight="1" x14ac:dyDescent="0.4">
      <c r="A19" s="189" t="str">
        <f>IF('納品書控(製品)'!A19:R20="","",'納品書控(製品)'!A19:R20)</f>
        <v/>
      </c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190"/>
      <c r="S19" s="181" t="str">
        <f>IF('納品書控(製品)'!S19:V20="","",'納品書控(製品)'!S19:V20)</f>
        <v/>
      </c>
      <c r="T19" s="80"/>
      <c r="U19" s="80"/>
      <c r="V19" s="81"/>
      <c r="W19" s="78"/>
      <c r="X19" s="80"/>
      <c r="Y19" s="80"/>
      <c r="Z19" s="80"/>
      <c r="AA19" s="80"/>
      <c r="AB19" s="81"/>
      <c r="AC19" s="86" t="str">
        <f>IF('納品書控(製品)'!AC19:AQ20="","",'納品書控(製品)'!AC19:AQ20)</f>
        <v/>
      </c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1"/>
    </row>
    <row r="20" spans="1:64" ht="9.75" customHeight="1" thickBot="1" x14ac:dyDescent="0.45">
      <c r="A20" s="191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92"/>
      <c r="S20" s="83"/>
      <c r="T20" s="83"/>
      <c r="U20" s="83"/>
      <c r="V20" s="84"/>
      <c r="W20" s="82"/>
      <c r="X20" s="83"/>
      <c r="Y20" s="83"/>
      <c r="Z20" s="83"/>
      <c r="AA20" s="83"/>
      <c r="AB20" s="84"/>
      <c r="AC20" s="82"/>
      <c r="AD20" s="83"/>
      <c r="AE20" s="83"/>
      <c r="AF20" s="83"/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4"/>
    </row>
    <row r="21" spans="1:64" ht="10.5" customHeight="1" x14ac:dyDescent="0.4">
      <c r="A21" s="67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15.75" customHeight="1" x14ac:dyDescent="0.4"/>
    <row r="23" spans="1:64" ht="15.75" customHeight="1" x14ac:dyDescent="0.4"/>
    <row r="24" spans="1:64" ht="15.75" customHeight="1" x14ac:dyDescent="0.4"/>
    <row r="25" spans="1:64" ht="15.75" customHeight="1" x14ac:dyDescent="0.4"/>
    <row r="26" spans="1:64" ht="15.75" customHeight="1" x14ac:dyDescent="0.4"/>
    <row r="27" spans="1:64" ht="15.75" customHeight="1" x14ac:dyDescent="0.4"/>
    <row r="28" spans="1:64" ht="15.75" customHeight="1" x14ac:dyDescent="0.4"/>
    <row r="29" spans="1:64" ht="15.75" customHeight="1" x14ac:dyDescent="0.4"/>
    <row r="30" spans="1:64" ht="15.75" customHeight="1" x14ac:dyDescent="0.4"/>
    <row r="31" spans="1:64" ht="15.75" customHeight="1" x14ac:dyDescent="0.4"/>
    <row r="32" spans="1:64" ht="15.75" customHeight="1" x14ac:dyDescent="0.4"/>
    <row r="33" ht="15.75" customHeight="1" x14ac:dyDescent="0.4"/>
  </sheetData>
  <sheetProtection sheet="1" objects="1" scenarios="1"/>
  <mergeCells count="49">
    <mergeCell ref="A7:R8"/>
    <mergeCell ref="A19:R20"/>
    <mergeCell ref="AC11:AQ12"/>
    <mergeCell ref="Q1:AB3"/>
    <mergeCell ref="S17:V18"/>
    <mergeCell ref="W19:AB20"/>
    <mergeCell ref="S7:V8"/>
    <mergeCell ref="A9:R10"/>
    <mergeCell ref="W13:AB14"/>
    <mergeCell ref="AC17:AQ18"/>
    <mergeCell ref="S4:T5"/>
    <mergeCell ref="A4:E5"/>
    <mergeCell ref="S19:V20"/>
    <mergeCell ref="AC13:AQ14"/>
    <mergeCell ref="AK1:AP1"/>
    <mergeCell ref="AC19:AQ20"/>
    <mergeCell ref="W17:AB18"/>
    <mergeCell ref="AH3:AQ3"/>
    <mergeCell ref="S9:V10"/>
    <mergeCell ref="S15:V16"/>
    <mergeCell ref="AB4:AG5"/>
    <mergeCell ref="W4:X5"/>
    <mergeCell ref="Y4:Z5"/>
    <mergeCell ref="W7:AB8"/>
    <mergeCell ref="AK4:AL5"/>
    <mergeCell ref="AC9:AL10"/>
    <mergeCell ref="AC15:AQ16"/>
    <mergeCell ref="AB6:AJ6"/>
    <mergeCell ref="AM9:AQ10"/>
    <mergeCell ref="AM4:AQ5"/>
    <mergeCell ref="S11:V12"/>
    <mergeCell ref="U4:V5"/>
    <mergeCell ref="AC7:AQ8"/>
    <mergeCell ref="F2:G3"/>
    <mergeCell ref="H2:I3"/>
    <mergeCell ref="W11:AB12"/>
    <mergeCell ref="W9:AB10"/>
    <mergeCell ref="A17:R18"/>
    <mergeCell ref="A2:E3"/>
    <mergeCell ref="A13:R14"/>
    <mergeCell ref="J4:K5"/>
    <mergeCell ref="L4:M5"/>
    <mergeCell ref="A15:R16"/>
    <mergeCell ref="S13:V14"/>
    <mergeCell ref="A11:R12"/>
    <mergeCell ref="W15:AB16"/>
    <mergeCell ref="N4:R5"/>
    <mergeCell ref="F4:G5"/>
    <mergeCell ref="H4:I5"/>
  </mergeCells>
  <phoneticPr fontId="4"/>
  <dataValidations count="3">
    <dataValidation type="list" allowBlank="1" showInputMessage="1" sqref="S11:V12" xr:uid="{00000000-0002-0000-0500-000000000000}">
      <formula1>"1,2,3,4,5"</formula1>
    </dataValidation>
    <dataValidation type="list" allowBlank="1" showInputMessage="1" showErrorMessage="1" sqref="AM9:AQ10" xr:uid="{00000000-0002-0000-0500-000001000000}">
      <formula1>"AX44,AX60,AX02,AX36,AX86,AX28"</formula1>
    </dataValidation>
    <dataValidation type="list" allowBlank="1" showInputMessage="1" showErrorMessage="1" sqref="A9:R10" xr:uid="{00000000-0002-0000-0500-000002000000}">
      <formula1>"代替品"</formula1>
    </dataValidation>
  </dataValidations>
  <printOptions horizontalCentered="1" verticalCentered="1"/>
  <pageMargins left="0.70866141732283472" right="0.70866141732283472" top="0.74803149606299213" bottom="0.74803149606299213" header="0.31496062992125978" footer="0.31496062992125978"/>
  <pageSetup paperSize="9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納品書控(製品)</vt:lpstr>
      <vt:lpstr>小口ラベル</vt:lpstr>
      <vt:lpstr>代替品指示書(品質)</vt:lpstr>
      <vt:lpstr>ラインコード</vt:lpstr>
      <vt:lpstr>北物用</vt:lpstr>
      <vt:lpstr>北物用(CS対応)</vt:lpstr>
      <vt:lpstr>小口ラベル!Print_Area</vt:lpstr>
      <vt:lpstr>'代替品指示書(品質)'!Print_Area</vt:lpstr>
      <vt:lpstr>'納品書控(製品)'!Print_Area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寺澤 晃輝(Kouki Terazawa)</dc:creator>
  <cp:lastModifiedBy>髙崎 慎太郎(Shintaro Takasaki)</cp:lastModifiedBy>
  <cp:lastPrinted>2024-11-06T06:27:07Z</cp:lastPrinted>
  <dcterms:created xsi:type="dcterms:W3CDTF">2020-01-14T00:25:16Z</dcterms:created>
  <dcterms:modified xsi:type="dcterms:W3CDTF">2024-11-28T00:56:31Z</dcterms:modified>
</cp:coreProperties>
</file>